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edbanningmacbookpro/Library/Mobile Documents/com~apple~CloudDocs/Documents/MSS/JAS Optimal Allocation Dragan/"/>
    </mc:Choice>
  </mc:AlternateContent>
  <xr:revisionPtr revIDLastSave="0" documentId="13_ncr:1_{354FB7A5-329B-EA46-B930-C6DAA7AE9409}" xr6:coauthVersionLast="47" xr6:coauthVersionMax="47" xr10:uidLastSave="{00000000-0000-0000-0000-000000000000}"/>
  <bookViews>
    <workbookView xWindow="0" yWindow="760" windowWidth="25600" windowHeight="16020" tabRatio="500" xr2:uid="{00000000-000D-0000-FFFF-FFFF00000000}"/>
  </bookViews>
  <sheets>
    <sheet name="Allocations" sheetId="1" r:id="rId1"/>
    <sheet name="Calibration A1" sheetId="2" r:id="rId2"/>
    <sheet name="SW A1" sheetId="3" r:id="rId3"/>
    <sheet name="Calibration A2" sheetId="4" r:id="rId4"/>
    <sheet name="SW A2" sheetId="5" r:id="rId5"/>
    <sheet name="Calibration B1" sheetId="6" r:id="rId6"/>
    <sheet name="SW B1" sheetId="7" r:id="rId7"/>
    <sheet name="Calibration B2" sheetId="8" r:id="rId8"/>
    <sheet name="SW B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7" i="8" l="1"/>
  <c r="C87" i="6"/>
  <c r="C61" i="4"/>
  <c r="C61" i="2"/>
  <c r="BH10" i="8"/>
  <c r="BH29" i="8"/>
  <c r="BI29" i="8" s="1"/>
  <c r="BH34" i="8"/>
  <c r="BI34" i="8" s="1"/>
  <c r="BH46" i="8"/>
  <c r="BH53" i="8"/>
  <c r="BH57" i="8"/>
  <c r="BI58" i="8" s="1"/>
  <c r="BH58" i="8"/>
  <c r="BH65" i="8"/>
  <c r="BI65" i="8" s="1"/>
  <c r="BH69" i="8"/>
  <c r="BH70" i="8"/>
  <c r="BH71" i="8"/>
  <c r="BI71" i="8" s="1"/>
  <c r="BH82" i="8"/>
  <c r="BF76" i="8"/>
  <c r="BF71" i="8"/>
  <c r="BF60" i="8"/>
  <c r="BF27" i="8"/>
  <c r="BB71" i="8"/>
  <c r="BB72" i="8"/>
  <c r="BH72" i="8" s="1"/>
  <c r="BB73" i="8"/>
  <c r="BD84" i="8" s="1"/>
  <c r="BB74" i="8"/>
  <c r="BC74" i="8" s="1"/>
  <c r="BF74" i="8" s="1"/>
  <c r="BB75" i="8"/>
  <c r="BH75" i="8" s="1"/>
  <c r="BB76" i="8"/>
  <c r="BB77" i="8"/>
  <c r="BB78" i="8"/>
  <c r="BH78" i="8" s="1"/>
  <c r="BB79" i="8"/>
  <c r="BH79" i="8" s="1"/>
  <c r="BB80" i="8"/>
  <c r="BC80" i="8" s="1"/>
  <c r="BB81" i="8"/>
  <c r="BB82" i="8"/>
  <c r="BB83" i="8"/>
  <c r="BB84" i="8"/>
  <c r="BH84" i="8" s="1"/>
  <c r="BB56" i="8"/>
  <c r="BH56" i="8" s="1"/>
  <c r="BI56" i="8" s="1"/>
  <c r="BB57" i="8"/>
  <c r="BC57" i="8" s="1"/>
  <c r="BB58" i="8"/>
  <c r="BB59" i="8"/>
  <c r="BH59" i="8" s="1"/>
  <c r="BB60" i="8"/>
  <c r="BB61" i="8"/>
  <c r="BH61" i="8" s="1"/>
  <c r="BB62" i="8"/>
  <c r="BC62" i="8" s="1"/>
  <c r="BB63" i="8"/>
  <c r="BB64" i="8"/>
  <c r="BB65" i="8"/>
  <c r="BB66" i="8"/>
  <c r="BH66" i="8" s="1"/>
  <c r="BB67" i="8"/>
  <c r="BH67" i="8" s="1"/>
  <c r="BB68" i="8"/>
  <c r="BC68" i="8" s="1"/>
  <c r="BB69" i="8"/>
  <c r="BC69" i="8" s="1"/>
  <c r="BB42" i="8"/>
  <c r="BD54" i="8" s="1"/>
  <c r="BB43" i="8"/>
  <c r="BH43" i="8" s="1"/>
  <c r="BB44" i="8"/>
  <c r="BH44" i="8" s="1"/>
  <c r="BB45" i="8"/>
  <c r="BC45" i="8" s="1"/>
  <c r="BB46" i="8"/>
  <c r="BB47" i="8"/>
  <c r="BB48" i="8"/>
  <c r="BH48" i="8" s="1"/>
  <c r="BB49" i="8"/>
  <c r="BH49" i="8" s="1"/>
  <c r="BB50" i="8"/>
  <c r="BC50" i="8" s="1"/>
  <c r="BB51" i="8"/>
  <c r="BC51" i="8" s="1"/>
  <c r="BB52" i="8"/>
  <c r="BH52" i="8" s="1"/>
  <c r="BB53" i="8"/>
  <c r="BB54" i="8"/>
  <c r="BH54" i="8" s="1"/>
  <c r="BB27" i="8"/>
  <c r="BD35" i="8" s="1"/>
  <c r="BB28" i="8"/>
  <c r="BC28" i="8" s="1"/>
  <c r="BF28" i="8" s="1"/>
  <c r="BB29" i="8"/>
  <c r="BB30" i="8"/>
  <c r="BH30" i="8" s="1"/>
  <c r="BI30" i="8" s="1"/>
  <c r="BB31" i="8"/>
  <c r="BH31" i="8" s="1"/>
  <c r="BI31" i="8" s="1"/>
  <c r="BB32" i="8"/>
  <c r="BC32" i="8" s="1"/>
  <c r="BB33" i="8"/>
  <c r="BC33" i="8" s="1"/>
  <c r="BB34" i="8"/>
  <c r="BB35" i="8"/>
  <c r="BH35" i="8" s="1"/>
  <c r="BI35" i="8" s="1"/>
  <c r="BB17" i="8"/>
  <c r="BD26" i="8" s="1"/>
  <c r="BB18" i="8"/>
  <c r="BH18" i="8" s="1"/>
  <c r="BI18" i="8" s="1"/>
  <c r="BB19" i="8"/>
  <c r="BH19" i="8" s="1"/>
  <c r="BI19" i="8" s="1"/>
  <c r="BB20" i="8"/>
  <c r="BC20" i="8" s="1"/>
  <c r="BB21" i="8"/>
  <c r="BB22" i="8"/>
  <c r="BB23" i="8"/>
  <c r="BH23" i="8" s="1"/>
  <c r="BI23" i="8" s="1"/>
  <c r="BB24" i="8"/>
  <c r="BH24" i="8" s="1"/>
  <c r="BI24" i="8" s="1"/>
  <c r="BB25" i="8"/>
  <c r="BH25" i="8" s="1"/>
  <c r="BI25" i="8" s="1"/>
  <c r="BB26" i="8"/>
  <c r="BC26" i="8" s="1"/>
  <c r="BB2" i="8"/>
  <c r="BB3" i="8"/>
  <c r="BH3" i="8" s="1"/>
  <c r="BI3" i="8" s="1"/>
  <c r="BB4" i="8"/>
  <c r="BC4" i="8" s="1"/>
  <c r="BF4" i="8" s="1"/>
  <c r="BB5" i="8"/>
  <c r="BB6" i="8"/>
  <c r="BF5" i="8" s="1"/>
  <c r="BB7" i="8"/>
  <c r="BH7" i="8" s="1"/>
  <c r="BB8" i="8"/>
  <c r="BH8" i="8" s="1"/>
  <c r="BB9" i="8"/>
  <c r="BC9" i="8" s="1"/>
  <c r="BB10" i="8"/>
  <c r="BB11" i="8"/>
  <c r="BH11" i="8" s="1"/>
  <c r="BB12" i="8"/>
  <c r="BH12" i="8" s="1"/>
  <c r="BB13" i="8"/>
  <c r="BH13" i="8" s="1"/>
  <c r="BB14" i="8"/>
  <c r="BB15" i="8"/>
  <c r="BC15" i="8" s="1"/>
  <c r="BB16" i="8"/>
  <c r="BH16" i="8" s="1"/>
  <c r="BB41" i="8"/>
  <c r="BH41" i="8" s="1"/>
  <c r="BB85" i="8"/>
  <c r="BB39" i="8"/>
  <c r="BH39" i="8" s="1"/>
  <c r="BI39" i="8" s="1"/>
  <c r="BB38" i="8"/>
  <c r="BC38" i="8" s="1"/>
  <c r="BF38" i="8" s="1"/>
  <c r="BB70" i="8"/>
  <c r="BB55" i="8"/>
  <c r="BD69" i="8" s="1"/>
  <c r="BB40" i="8"/>
  <c r="BF43" i="8" s="1"/>
  <c r="BB37" i="8"/>
  <c r="BH37" i="8" s="1"/>
  <c r="BB36" i="8"/>
  <c r="BF37" i="8" s="1"/>
  <c r="BC85" i="8"/>
  <c r="BC83" i="8"/>
  <c r="BC82" i="8"/>
  <c r="BC81" i="8"/>
  <c r="BC79" i="8"/>
  <c r="BC78" i="8"/>
  <c r="BC77" i="8"/>
  <c r="BF77" i="8" s="1"/>
  <c r="BC76" i="8"/>
  <c r="BC75" i="8"/>
  <c r="BF75" i="8" s="1"/>
  <c r="BC71" i="8"/>
  <c r="BC70" i="8"/>
  <c r="BC66" i="8"/>
  <c r="BC65" i="8"/>
  <c r="BC64" i="8"/>
  <c r="BC63" i="8"/>
  <c r="BC61" i="8"/>
  <c r="BC60" i="8"/>
  <c r="BC58" i="8"/>
  <c r="BC56" i="8"/>
  <c r="BF56" i="8" s="1"/>
  <c r="BC54" i="8"/>
  <c r="BC53" i="8"/>
  <c r="BC52" i="8"/>
  <c r="BC47" i="8"/>
  <c r="BC46" i="8"/>
  <c r="BC44" i="8"/>
  <c r="BC43" i="8"/>
  <c r="BC42" i="8"/>
  <c r="BC41" i="8"/>
  <c r="BC40" i="8"/>
  <c r="BC39" i="8"/>
  <c r="BF39" i="8" s="1"/>
  <c r="BC37" i="8"/>
  <c r="BC36" i="8"/>
  <c r="BC35" i="8"/>
  <c r="BC34" i="8"/>
  <c r="BC31" i="8"/>
  <c r="BC30" i="8"/>
  <c r="BF30" i="8" s="1"/>
  <c r="BC29" i="8"/>
  <c r="BC27" i="8"/>
  <c r="BC23" i="8"/>
  <c r="BC22" i="8"/>
  <c r="BC21" i="8"/>
  <c r="BC19" i="8"/>
  <c r="BC18" i="8"/>
  <c r="BF18" i="8" s="1"/>
  <c r="BC17" i="8"/>
  <c r="BF17" i="8" s="1"/>
  <c r="BC16" i="8"/>
  <c r="BC14" i="8"/>
  <c r="BC13" i="8"/>
  <c r="BC10" i="8"/>
  <c r="BC8" i="8"/>
  <c r="BC7" i="8"/>
  <c r="BF7" i="8"/>
  <c r="BC6" i="8"/>
  <c r="BC5" i="8"/>
  <c r="BC2" i="8"/>
  <c r="BF2" i="8" s="1"/>
  <c r="AE49" i="6"/>
  <c r="AE43" i="6"/>
  <c r="AE37" i="6"/>
  <c r="AE5" i="6"/>
  <c r="AE7" i="6"/>
  <c r="AA66" i="6"/>
  <c r="AB66" i="6"/>
  <c r="AA30" i="6"/>
  <c r="AB30" i="6"/>
  <c r="AA58" i="6"/>
  <c r="AB58" i="6" s="1"/>
  <c r="AA69" i="6"/>
  <c r="AB69" i="6"/>
  <c r="AA7" i="6"/>
  <c r="AB7" i="6"/>
  <c r="AA34" i="6"/>
  <c r="AB34" i="6" s="1"/>
  <c r="AA8" i="6"/>
  <c r="AB8" i="6"/>
  <c r="AA16" i="6"/>
  <c r="AB16" i="6"/>
  <c r="AA63" i="6"/>
  <c r="AB63" i="6" s="1"/>
  <c r="AA33" i="6"/>
  <c r="AB33" i="6"/>
  <c r="AA12" i="6"/>
  <c r="AB12" i="6"/>
  <c r="AA15" i="6"/>
  <c r="AB15" i="6" s="1"/>
  <c r="AA79" i="6"/>
  <c r="AB79" i="6"/>
  <c r="AA43" i="6"/>
  <c r="AB43" i="6"/>
  <c r="AA84" i="6"/>
  <c r="AB84" i="6" s="1"/>
  <c r="AA31" i="6"/>
  <c r="AB31" i="6"/>
  <c r="AA64" i="6"/>
  <c r="BH64" i="8" s="1"/>
  <c r="AB64" i="6"/>
  <c r="AA6" i="6"/>
  <c r="AB6" i="6" s="1"/>
  <c r="AA41" i="6"/>
  <c r="AB41" i="6"/>
  <c r="AA85" i="6"/>
  <c r="BH85" i="8" s="1"/>
  <c r="AB85" i="6"/>
  <c r="AA21" i="6"/>
  <c r="AB21" i="6" s="1"/>
  <c r="AA29" i="6"/>
  <c r="AB29" i="6"/>
  <c r="AA19" i="6"/>
  <c r="AB19" i="6"/>
  <c r="AA76" i="6"/>
  <c r="BH76" i="8" s="1"/>
  <c r="AA28" i="6"/>
  <c r="AB28" i="6"/>
  <c r="AA22" i="6"/>
  <c r="BH22" i="8" s="1"/>
  <c r="BI22" i="8" s="1"/>
  <c r="AB22" i="6"/>
  <c r="AA39" i="6"/>
  <c r="AB39" i="6" s="1"/>
  <c r="AA25" i="6"/>
  <c r="AB25" i="6"/>
  <c r="AA50" i="6"/>
  <c r="AB50" i="6"/>
  <c r="AA23" i="6"/>
  <c r="AB23" i="6" s="1"/>
  <c r="AA9" i="6"/>
  <c r="AB9" i="6"/>
  <c r="AA75" i="6"/>
  <c r="AB75" i="6"/>
  <c r="AA20" i="6"/>
  <c r="AB20" i="6" s="1"/>
  <c r="AA74" i="6"/>
  <c r="AB74" i="6"/>
  <c r="AA72" i="6"/>
  <c r="AB72" i="6"/>
  <c r="AA46" i="6"/>
  <c r="AB46" i="6" s="1"/>
  <c r="AA45" i="6"/>
  <c r="AB45" i="6"/>
  <c r="AA2" i="6"/>
  <c r="BH2" i="8" s="1"/>
  <c r="BI2" i="8" s="1"/>
  <c r="AB2" i="6"/>
  <c r="AE2" i="6" s="1"/>
  <c r="AA5" i="6"/>
  <c r="AB5" i="6" s="1"/>
  <c r="AA54" i="6"/>
  <c r="AB54" i="6"/>
  <c r="AA38" i="6"/>
  <c r="AB38" i="6"/>
  <c r="AA48" i="6"/>
  <c r="AB48" i="6" s="1"/>
  <c r="AA81" i="6"/>
  <c r="BH81" i="8" s="1"/>
  <c r="AB81" i="6"/>
  <c r="AA59" i="6"/>
  <c r="AB59" i="6"/>
  <c r="AA70" i="6"/>
  <c r="AB70" i="6" s="1"/>
  <c r="AA10" i="6"/>
  <c r="AB10" i="6"/>
  <c r="AA57" i="6"/>
  <c r="AB57" i="6"/>
  <c r="AA80" i="6"/>
  <c r="AB80" i="6" s="1"/>
  <c r="AA61" i="6"/>
  <c r="AB61" i="6"/>
  <c r="AA62" i="6"/>
  <c r="AB62" i="6"/>
  <c r="AA67" i="6"/>
  <c r="AB67" i="6" s="1"/>
  <c r="AA71" i="6"/>
  <c r="AB71" i="6"/>
  <c r="AA68" i="6"/>
  <c r="AB68" i="6"/>
  <c r="AA49" i="6"/>
  <c r="AB49" i="6" s="1"/>
  <c r="AA17" i="6"/>
  <c r="BH17" i="8" s="1"/>
  <c r="BI17" i="8" s="1"/>
  <c r="AB17" i="6"/>
  <c r="AA26" i="6"/>
  <c r="AB26" i="6"/>
  <c r="AA55" i="6"/>
  <c r="AB55" i="6" s="1"/>
  <c r="AA14" i="6"/>
  <c r="BH14" i="8" s="1"/>
  <c r="AB14" i="6"/>
  <c r="AA53" i="6"/>
  <c r="AB53" i="6"/>
  <c r="AA27" i="6"/>
  <c r="AB27" i="6" s="1"/>
  <c r="AA47" i="6"/>
  <c r="BH47" i="8" s="1"/>
  <c r="AB47" i="6"/>
  <c r="AA18" i="6"/>
  <c r="AC18" i="6" s="1"/>
  <c r="AB18" i="6"/>
  <c r="AA60" i="6"/>
  <c r="BH60" i="8" s="1"/>
  <c r="AA40" i="6"/>
  <c r="AB40" i="6"/>
  <c r="AA65" i="6"/>
  <c r="AB65" i="6"/>
  <c r="AA37" i="6"/>
  <c r="AB37" i="6" s="1"/>
  <c r="AA32" i="6"/>
  <c r="AB32" i="6"/>
  <c r="AA3" i="6"/>
  <c r="AB3" i="6"/>
  <c r="AE3" i="6" s="1"/>
  <c r="AA13" i="6"/>
  <c r="AB13" i="6" s="1"/>
  <c r="AA24" i="6"/>
  <c r="AB24" i="6"/>
  <c r="AA83" i="6"/>
  <c r="BH83" i="8" s="1"/>
  <c r="AB83" i="6"/>
  <c r="AA73" i="6"/>
  <c r="AB73" i="6" s="1"/>
  <c r="AA82" i="6"/>
  <c r="AB82" i="6"/>
  <c r="AA4" i="6"/>
  <c r="AB4" i="6"/>
  <c r="AE4" i="6" s="1"/>
  <c r="AA77" i="6"/>
  <c r="AB77" i="6" s="1"/>
  <c r="AA44" i="6"/>
  <c r="AB44" i="6"/>
  <c r="AA78" i="6"/>
  <c r="AB78" i="6"/>
  <c r="AA36" i="6"/>
  <c r="BH36" i="8" s="1"/>
  <c r="AA11" i="6"/>
  <c r="AB11" i="6"/>
  <c r="AA35" i="6"/>
  <c r="AB35" i="6" s="1"/>
  <c r="AA56" i="6"/>
  <c r="AB56" i="6" s="1"/>
  <c r="AA42" i="6"/>
  <c r="AB42" i="6"/>
  <c r="AA52" i="6"/>
  <c r="AB52" i="6"/>
  <c r="AA51" i="6"/>
  <c r="AB51" i="6" s="1"/>
  <c r="AG43" i="4"/>
  <c r="AF42" i="4"/>
  <c r="AG42" i="4" s="1"/>
  <c r="AG41" i="4"/>
  <c r="AF41" i="4"/>
  <c r="AG39" i="4"/>
  <c r="AF39" i="4"/>
  <c r="AG30" i="4"/>
  <c r="AG29" i="4"/>
  <c r="AF30" i="4"/>
  <c r="AF27" i="4"/>
  <c r="AF26" i="4"/>
  <c r="AF25" i="4"/>
  <c r="AF24" i="4"/>
  <c r="AG24" i="4" s="1"/>
  <c r="AF7" i="4"/>
  <c r="AG7" i="4" s="1"/>
  <c r="AG3" i="4"/>
  <c r="AG5" i="4"/>
  <c r="AG10" i="4"/>
  <c r="AG12" i="4"/>
  <c r="AG14" i="4"/>
  <c r="AG15" i="4"/>
  <c r="AG17" i="4"/>
  <c r="AG19" i="4"/>
  <c r="AG22" i="4"/>
  <c r="AG26" i="4"/>
  <c r="AG27" i="4"/>
  <c r="AG36" i="4"/>
  <c r="AG38" i="4"/>
  <c r="AG40" i="4"/>
  <c r="AF3" i="4"/>
  <c r="AG2" i="4"/>
  <c r="AF2" i="4"/>
  <c r="AE3" i="4"/>
  <c r="AE4" i="4"/>
  <c r="AG4" i="4" s="1"/>
  <c r="AE5" i="4"/>
  <c r="AE6" i="4"/>
  <c r="AG6" i="4" s="1"/>
  <c r="AE7" i="4"/>
  <c r="AE8" i="4"/>
  <c r="AG8" i="4" s="1"/>
  <c r="AE9" i="4"/>
  <c r="AG9" i="4" s="1"/>
  <c r="AE10" i="4"/>
  <c r="AE11" i="4"/>
  <c r="AG11" i="4" s="1"/>
  <c r="AE12" i="4"/>
  <c r="AE13" i="4"/>
  <c r="AG13" i="4" s="1"/>
  <c r="AE14" i="4"/>
  <c r="AE15" i="4"/>
  <c r="AE16" i="4"/>
  <c r="AG16" i="4" s="1"/>
  <c r="AE17" i="4"/>
  <c r="AE18" i="4"/>
  <c r="AG18" i="4" s="1"/>
  <c r="AE19" i="4"/>
  <c r="AE20" i="4"/>
  <c r="AG20" i="4" s="1"/>
  <c r="AE21" i="4"/>
  <c r="AG21" i="4" s="1"/>
  <c r="AE22" i="4"/>
  <c r="AE23" i="4"/>
  <c r="AG23" i="4" s="1"/>
  <c r="AE24" i="4"/>
  <c r="AE25" i="4"/>
  <c r="AG25" i="4" s="1"/>
  <c r="AE26" i="4"/>
  <c r="AE27" i="4"/>
  <c r="AE28" i="4"/>
  <c r="AG28" i="4" s="1"/>
  <c r="AE29" i="4"/>
  <c r="AE30" i="4"/>
  <c r="AE31" i="4"/>
  <c r="AG31" i="4" s="1"/>
  <c r="AE32" i="4"/>
  <c r="AG32" i="4" s="1"/>
  <c r="AE33" i="4"/>
  <c r="AG33" i="4" s="1"/>
  <c r="AE34" i="4"/>
  <c r="AG34" i="4" s="1"/>
  <c r="AE35" i="4"/>
  <c r="AG35" i="4" s="1"/>
  <c r="AE36" i="4"/>
  <c r="AE37" i="4"/>
  <c r="AG37" i="4" s="1"/>
  <c r="AE38" i="4"/>
  <c r="AE39" i="4"/>
  <c r="AE40" i="4"/>
  <c r="AE41" i="4"/>
  <c r="AE42" i="4"/>
  <c r="AE43" i="4"/>
  <c r="AE44" i="4"/>
  <c r="AG44" i="4" s="1"/>
  <c r="AE45" i="4"/>
  <c r="AG45" i="4" s="1"/>
  <c r="AE46" i="4"/>
  <c r="AG46" i="4" s="1"/>
  <c r="AE47" i="4"/>
  <c r="AG47" i="4" s="1"/>
  <c r="AE48" i="4"/>
  <c r="AG48" i="4" s="1"/>
  <c r="AE49" i="4"/>
  <c r="AG49" i="4" s="1"/>
  <c r="AE50" i="4"/>
  <c r="AG50" i="4" s="1"/>
  <c r="AE51" i="4"/>
  <c r="AG51" i="4" s="1"/>
  <c r="AE52" i="4"/>
  <c r="AG52" i="4" s="1"/>
  <c r="AE53" i="4"/>
  <c r="AG53" i="4" s="1"/>
  <c r="AE54" i="4"/>
  <c r="AG54" i="4" s="1"/>
  <c r="AE55" i="4"/>
  <c r="AG55" i="4" s="1"/>
  <c r="AE56" i="4"/>
  <c r="AG56" i="4" s="1"/>
  <c r="AE57" i="4"/>
  <c r="AG57" i="4" s="1"/>
  <c r="AE58" i="4"/>
  <c r="AG58" i="4" s="1"/>
  <c r="AE59" i="4"/>
  <c r="AG59" i="4" s="1"/>
  <c r="AE2" i="4"/>
  <c r="AC42" i="4"/>
  <c r="AC50" i="4"/>
  <c r="AC2" i="4"/>
  <c r="Y4" i="4"/>
  <c r="Y64" i="4" s="1"/>
  <c r="Z64" i="4" s="1"/>
  <c r="Y5" i="4"/>
  <c r="Y12" i="4"/>
  <c r="Z12" i="4" s="1"/>
  <c r="Y6" i="4"/>
  <c r="Y10" i="4"/>
  <c r="Z10" i="4" s="1"/>
  <c r="Y2" i="4"/>
  <c r="Y15" i="4"/>
  <c r="Z15" i="4" s="1"/>
  <c r="Y14" i="4"/>
  <c r="Z14" i="4" s="1"/>
  <c r="Y11" i="4"/>
  <c r="Y9" i="4"/>
  <c r="Z9" i="4" s="1"/>
  <c r="Y3" i="4"/>
  <c r="AA7" i="4" s="1"/>
  <c r="Y8" i="4"/>
  <c r="Z8" i="4" s="1"/>
  <c r="Y13" i="4"/>
  <c r="Z13" i="4" s="1"/>
  <c r="Y7" i="4"/>
  <c r="Y16" i="4"/>
  <c r="Y18" i="4"/>
  <c r="Y19" i="4"/>
  <c r="Y17" i="4"/>
  <c r="Y21" i="4"/>
  <c r="Y20" i="4"/>
  <c r="Y23" i="4"/>
  <c r="Y22" i="4"/>
  <c r="Z22" i="4" s="1"/>
  <c r="Y27" i="4"/>
  <c r="Z27" i="4" s="1"/>
  <c r="Y28" i="4"/>
  <c r="Z28" i="4" s="1"/>
  <c r="Y24" i="4"/>
  <c r="Y25" i="4"/>
  <c r="Z25" i="4" s="1"/>
  <c r="AC25" i="4" s="1"/>
  <c r="Y30" i="4"/>
  <c r="Y32" i="4"/>
  <c r="Z32" i="4" s="1"/>
  <c r="Y36" i="4"/>
  <c r="Y37" i="4"/>
  <c r="Y33" i="4"/>
  <c r="Z33" i="4" s="1"/>
  <c r="Y26" i="4"/>
  <c r="Y31" i="4"/>
  <c r="Y29" i="4"/>
  <c r="Z29" i="4" s="1"/>
  <c r="Y34" i="4"/>
  <c r="Z34" i="4" s="1"/>
  <c r="Y35" i="4"/>
  <c r="Z35" i="4" s="1"/>
  <c r="Y38" i="4"/>
  <c r="AC39" i="4" s="1"/>
  <c r="Y48" i="4"/>
  <c r="Z48" i="4" s="1"/>
  <c r="Y39" i="4"/>
  <c r="Y47" i="4"/>
  <c r="Z47" i="4" s="1"/>
  <c r="Y42" i="4"/>
  <c r="Y49" i="4"/>
  <c r="Y44" i="4"/>
  <c r="Z44" i="4" s="1"/>
  <c r="Y40" i="4"/>
  <c r="Y43" i="4"/>
  <c r="Y46" i="4"/>
  <c r="Y45" i="4"/>
  <c r="Z45" i="4" s="1"/>
  <c r="Y41" i="4"/>
  <c r="AC41" i="4" s="1"/>
  <c r="Y56" i="4"/>
  <c r="Z56" i="4" s="1"/>
  <c r="Y50" i="4"/>
  <c r="Y53" i="4"/>
  <c r="Y57" i="4"/>
  <c r="Z57" i="4" s="1"/>
  <c r="Y58" i="4"/>
  <c r="Z58" i="4" s="1"/>
  <c r="Y54" i="4"/>
  <c r="Z54" i="4" s="1"/>
  <c r="Y55" i="4"/>
  <c r="Z55" i="4" s="1"/>
  <c r="Y59" i="4"/>
  <c r="Y51" i="4"/>
  <c r="Z51" i="4" s="1"/>
  <c r="Y52" i="4"/>
  <c r="X64" i="4"/>
  <c r="Z40" i="4"/>
  <c r="Z42" i="4"/>
  <c r="Z38" i="4"/>
  <c r="Z17" i="4"/>
  <c r="Z30" i="4"/>
  <c r="Z43" i="4"/>
  <c r="Z2" i="4"/>
  <c r="Z21" i="4"/>
  <c r="Z16" i="4"/>
  <c r="Z37" i="4"/>
  <c r="Z53" i="4"/>
  <c r="Z3" i="4"/>
  <c r="AC3" i="4" s="1"/>
  <c r="Z26" i="4"/>
  <c r="Z49" i="4"/>
  <c r="Z59" i="4"/>
  <c r="Z20" i="4"/>
  <c r="Z31" i="4"/>
  <c r="Z24" i="4"/>
  <c r="Z39" i="4"/>
  <c r="Z50" i="4"/>
  <c r="Z52" i="4"/>
  <c r="Z36" i="4"/>
  <c r="Z7" i="4"/>
  <c r="Z5" i="4"/>
  <c r="Z11" i="4"/>
  <c r="Z23" i="4"/>
  <c r="Z6" i="4"/>
  <c r="Z19" i="4"/>
  <c r="Z46" i="4"/>
  <c r="Z18" i="4"/>
  <c r="AO38" i="2"/>
  <c r="AO28" i="2"/>
  <c r="AO16" i="2"/>
  <c r="AK4" i="2"/>
  <c r="AO4" i="2" s="1"/>
  <c r="AK5" i="2"/>
  <c r="AK2" i="2"/>
  <c r="AK3" i="2"/>
  <c r="AL3" i="2" s="1"/>
  <c r="AK56" i="2"/>
  <c r="AL56" i="2" s="1"/>
  <c r="AK50" i="2"/>
  <c r="AL50" i="2" s="1"/>
  <c r="AK53" i="2"/>
  <c r="AL53" i="2" s="1"/>
  <c r="AK57" i="2"/>
  <c r="AK58" i="2"/>
  <c r="AK54" i="2"/>
  <c r="AK55" i="2"/>
  <c r="AL55" i="2" s="1"/>
  <c r="AK59" i="2"/>
  <c r="AK51" i="2"/>
  <c r="AL51" i="2" s="1"/>
  <c r="AK52" i="2"/>
  <c r="AL52" i="2" s="1"/>
  <c r="F60" i="2"/>
  <c r="G60" i="2"/>
  <c r="AK60" i="2" s="1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38" i="2"/>
  <c r="AK48" i="2"/>
  <c r="AK39" i="2"/>
  <c r="AM38" i="2" s="1"/>
  <c r="AK47" i="2"/>
  <c r="AK42" i="2"/>
  <c r="AK49" i="2"/>
  <c r="AK44" i="2"/>
  <c r="AL44" i="2" s="1"/>
  <c r="AK40" i="2"/>
  <c r="AL40" i="2" s="1"/>
  <c r="AK43" i="2"/>
  <c r="AK46" i="2"/>
  <c r="AK45" i="2"/>
  <c r="AL45" i="2" s="1"/>
  <c r="AK41" i="2"/>
  <c r="AL41" i="2" s="1"/>
  <c r="AK27" i="2"/>
  <c r="AM27" i="2" s="1"/>
  <c r="AK28" i="2"/>
  <c r="AK24" i="2"/>
  <c r="AK25" i="2"/>
  <c r="AK30" i="2"/>
  <c r="AL30" i="2" s="1"/>
  <c r="AK32" i="2"/>
  <c r="AL32" i="2" s="1"/>
  <c r="AK36" i="2"/>
  <c r="AL36" i="2" s="1"/>
  <c r="AK37" i="2"/>
  <c r="AL37" i="2" s="1"/>
  <c r="AK33" i="2"/>
  <c r="AL33" i="2" s="1"/>
  <c r="AK26" i="2"/>
  <c r="AL26" i="2" s="1"/>
  <c r="AK31" i="2"/>
  <c r="AL31" i="2" s="1"/>
  <c r="AK29" i="2"/>
  <c r="AK34" i="2"/>
  <c r="AL34" i="2" s="1"/>
  <c r="AK35" i="2"/>
  <c r="AK21" i="2"/>
  <c r="AK20" i="2"/>
  <c r="AL20" i="2" s="1"/>
  <c r="AK23" i="2"/>
  <c r="AL23" i="2" s="1"/>
  <c r="AK22" i="2"/>
  <c r="AM21" i="2" s="1"/>
  <c r="AK16" i="2"/>
  <c r="AM16" i="2" s="1"/>
  <c r="AK18" i="2"/>
  <c r="AK19" i="2"/>
  <c r="AL19" i="2" s="1"/>
  <c r="AK17" i="2"/>
  <c r="AK12" i="2"/>
  <c r="AK6" i="2"/>
  <c r="AK10" i="2"/>
  <c r="AK15" i="2"/>
  <c r="AL15" i="2" s="1"/>
  <c r="AK14" i="2"/>
  <c r="AL14" i="2" s="1"/>
  <c r="AK11" i="2"/>
  <c r="AO10" i="2" s="1"/>
  <c r="AK9" i="2"/>
  <c r="AK8" i="2"/>
  <c r="AL8" i="2" s="1"/>
  <c r="AK13" i="2"/>
  <c r="AL13" i="2" s="1"/>
  <c r="AK7" i="2"/>
  <c r="AL7" i="2" s="1"/>
  <c r="AL42" i="2"/>
  <c r="AL4" i="2"/>
  <c r="AL54" i="2"/>
  <c r="AL47" i="2"/>
  <c r="AL38" i="2"/>
  <c r="AL17" i="2"/>
  <c r="AL27" i="2"/>
  <c r="AL29" i="2"/>
  <c r="AL43" i="2"/>
  <c r="AL48" i="2"/>
  <c r="AL2" i="2"/>
  <c r="AL21" i="2"/>
  <c r="AL35" i="2"/>
  <c r="AL16" i="2"/>
  <c r="AL49" i="2"/>
  <c r="AL59" i="2"/>
  <c r="AL24" i="2"/>
  <c r="AL39" i="2"/>
  <c r="AL25" i="2"/>
  <c r="AL9" i="2"/>
  <c r="AL57" i="2"/>
  <c r="AL12" i="2"/>
  <c r="AL5" i="2"/>
  <c r="AL6" i="2"/>
  <c r="AL10" i="2"/>
  <c r="AL28" i="2"/>
  <c r="AL58" i="2"/>
  <c r="AL46" i="2"/>
  <c r="AL18" i="2"/>
  <c r="AL60" i="2" l="1"/>
  <c r="AM56" i="2"/>
  <c r="BI49" i="8"/>
  <c r="BI37" i="8"/>
  <c r="BI60" i="8"/>
  <c r="BH45" i="8"/>
  <c r="BH33" i="8"/>
  <c r="BI33" i="8" s="1"/>
  <c r="BH21" i="8"/>
  <c r="BI21" i="8" s="1"/>
  <c r="BH9" i="8"/>
  <c r="AO40" i="2"/>
  <c r="BC55" i="8"/>
  <c r="BC67" i="8"/>
  <c r="BH80" i="8"/>
  <c r="BH68" i="8"/>
  <c r="BH32" i="8"/>
  <c r="BI32" i="8" s="1"/>
  <c r="BH20" i="8"/>
  <c r="BI20" i="8" s="1"/>
  <c r="BH55" i="8"/>
  <c r="AC7" i="4"/>
  <c r="AB36" i="6"/>
  <c r="AB76" i="6"/>
  <c r="AC3" i="6"/>
  <c r="BH42" i="8"/>
  <c r="BH6" i="8"/>
  <c r="AL22" i="2"/>
  <c r="Z41" i="4"/>
  <c r="Z4" i="4"/>
  <c r="BH77" i="8"/>
  <c r="BI77" i="8" s="1"/>
  <c r="BH5" i="8"/>
  <c r="AC37" i="6"/>
  <c r="BC11" i="8"/>
  <c r="BC59" i="8"/>
  <c r="BH40" i="8"/>
  <c r="BH28" i="8"/>
  <c r="BI28" i="8" s="1"/>
  <c r="BH4" i="8"/>
  <c r="BI4" i="8" s="1"/>
  <c r="AL11" i="2"/>
  <c r="AM4" i="2"/>
  <c r="AC57" i="6"/>
  <c r="BC3" i="8"/>
  <c r="BF3" i="8" s="1"/>
  <c r="BC12" i="8"/>
  <c r="BC24" i="8"/>
  <c r="BC48" i="8"/>
  <c r="BC72" i="8"/>
  <c r="BF72" i="8" s="1"/>
  <c r="BC84" i="8"/>
  <c r="BD15" i="8"/>
  <c r="BH63" i="8"/>
  <c r="BH51" i="8"/>
  <c r="BH27" i="8"/>
  <c r="BI27" i="8" s="1"/>
  <c r="BH15" i="8"/>
  <c r="BC25" i="8"/>
  <c r="BC49" i="8"/>
  <c r="BC73" i="8"/>
  <c r="BF73" i="8" s="1"/>
  <c r="BH74" i="8"/>
  <c r="BH62" i="8"/>
  <c r="BH50" i="8"/>
  <c r="BH38" i="8"/>
  <c r="BI38" i="8" s="1"/>
  <c r="BH26" i="8"/>
  <c r="BI26" i="8" s="1"/>
  <c r="BH73" i="8"/>
  <c r="BI73" i="8" s="1"/>
  <c r="AB60" i="6"/>
  <c r="BI43" i="8" l="1"/>
  <c r="BI5" i="8"/>
</calcChain>
</file>

<file path=xl/sharedStrings.xml><?xml version="1.0" encoding="utf-8"?>
<sst xmlns="http://schemas.openxmlformats.org/spreadsheetml/2006/main" count="897" uniqueCount="211">
  <si>
    <t>Artifact</t>
  </si>
  <si>
    <t>Segment</t>
  </si>
  <si>
    <t>L or R</t>
  </si>
  <si>
    <t>Long Dist</t>
  </si>
  <si>
    <t>Distance</t>
  </si>
  <si>
    <t>SL 16</t>
  </si>
  <si>
    <t>SL 3</t>
  </si>
  <si>
    <t>SL 5</t>
  </si>
  <si>
    <t>SL 11</t>
  </si>
  <si>
    <t>SL 13</t>
  </si>
  <si>
    <t>SL 8</t>
  </si>
  <si>
    <t>SL 18</t>
  </si>
  <si>
    <t>SL 12</t>
  </si>
  <si>
    <t>SL 17</t>
  </si>
  <si>
    <t>SL 15</t>
  </si>
  <si>
    <t>SL 20</t>
  </si>
  <si>
    <t>SL 10</t>
  </si>
  <si>
    <t>SL 19</t>
  </si>
  <si>
    <t>LL 15</t>
  </si>
  <si>
    <t>LL 20</t>
  </si>
  <si>
    <t>LL 9</t>
  </si>
  <si>
    <t>LL 11</t>
  </si>
  <si>
    <t>LL 17</t>
  </si>
  <si>
    <t>LL 3</t>
  </si>
  <si>
    <t>LL 8</t>
  </si>
  <si>
    <t>LL 1</t>
  </si>
  <si>
    <t>LL 2</t>
  </si>
  <si>
    <t>LL 6</t>
  </si>
  <si>
    <t>LL 18</t>
  </si>
  <si>
    <t>LL 7</t>
  </si>
  <si>
    <t>LL 19</t>
  </si>
  <si>
    <t>LL 4</t>
  </si>
  <si>
    <t>SR 10</t>
  </si>
  <si>
    <t>SR 1</t>
  </si>
  <si>
    <t>SR 8</t>
  </si>
  <si>
    <t>SR 9</t>
  </si>
  <si>
    <t>SR 2</t>
  </si>
  <si>
    <t>SR 5</t>
  </si>
  <si>
    <t>SR 7</t>
  </si>
  <si>
    <t>SR 6</t>
  </si>
  <si>
    <t>SR 11</t>
  </si>
  <si>
    <t>SR 18</t>
  </si>
  <si>
    <t>SR 3</t>
  </si>
  <si>
    <t>SR 12</t>
  </si>
  <si>
    <t>LR 15</t>
  </si>
  <si>
    <t>LR 13</t>
  </si>
  <si>
    <t>LR 20</t>
  </si>
  <si>
    <t>LR 16</t>
  </si>
  <si>
    <t>SY 19</t>
  </si>
  <si>
    <t>SY 15</t>
  </si>
  <si>
    <t>SY 2</t>
  </si>
  <si>
    <t>SY 20</t>
  </si>
  <si>
    <t>SY 12</t>
  </si>
  <si>
    <t>SY 11</t>
  </si>
  <si>
    <t>SY 6</t>
  </si>
  <si>
    <t>SY 1</t>
  </si>
  <si>
    <t>SY 3</t>
  </si>
  <si>
    <t>SY 14</t>
  </si>
  <si>
    <t>LY 13</t>
  </si>
  <si>
    <t>LY 4</t>
  </si>
  <si>
    <t>LY 17</t>
  </si>
  <si>
    <t>LY 9</t>
  </si>
  <si>
    <t>R</t>
  </si>
  <si>
    <t>L</t>
  </si>
  <si>
    <t>SL 9</t>
  </si>
  <si>
    <t>Surv 1</t>
  </si>
  <si>
    <t>Surv 2</t>
  </si>
  <si>
    <t>Surv 3</t>
  </si>
  <si>
    <t>Surv 4</t>
  </si>
  <si>
    <t>Surv 5</t>
  </si>
  <si>
    <t>Surv 6</t>
  </si>
  <si>
    <t>Surv 7</t>
  </si>
  <si>
    <t>Surv 8</t>
  </si>
  <si>
    <t>Surv 9</t>
  </si>
  <si>
    <t>Surv 10</t>
  </si>
  <si>
    <t>Surv 11</t>
  </si>
  <si>
    <t>Time (minutes)</t>
  </si>
  <si>
    <t>Surv 12</t>
  </si>
  <si>
    <t>Surv 13</t>
  </si>
  <si>
    <t>Surv 14</t>
  </si>
  <si>
    <t>Surv 15</t>
  </si>
  <si>
    <t>Surv 16</t>
  </si>
  <si>
    <t>Surv 17</t>
  </si>
  <si>
    <t>Surv 18</t>
  </si>
  <si>
    <t>Surv 19</t>
  </si>
  <si>
    <t>Surv 20</t>
  </si>
  <si>
    <t>Prop Success</t>
  </si>
  <si>
    <t>Total Prop Success</t>
  </si>
  <si>
    <t>False Targets</t>
  </si>
  <si>
    <t>Surv 21</t>
  </si>
  <si>
    <t>Surv 22</t>
  </si>
  <si>
    <t>Surv 23</t>
  </si>
  <si>
    <t>Surv 24</t>
  </si>
  <si>
    <t>Surv 25</t>
  </si>
  <si>
    <t>Surv 26</t>
  </si>
  <si>
    <t>Surv 27</t>
  </si>
  <si>
    <t>Surv 28</t>
  </si>
  <si>
    <t>Surv 29</t>
  </si>
  <si>
    <t>Surv 30</t>
  </si>
  <si>
    <t>Total</t>
  </si>
  <si>
    <t>Tot Opps</t>
  </si>
  <si>
    <t>Tot Detd</t>
  </si>
  <si>
    <t xml:space="preserve"> </t>
  </si>
  <si>
    <t>Dist (m)</t>
  </si>
  <si>
    <t>Prop by Dist</t>
  </si>
  <si>
    <t>Artifact Type</t>
  </si>
  <si>
    <t>b</t>
  </si>
  <si>
    <t>k</t>
  </si>
  <si>
    <t>Large lithics</t>
  </si>
  <si>
    <t>W(m)</t>
  </si>
  <si>
    <t>Small lithics</t>
  </si>
  <si>
    <t>Small Redware</t>
  </si>
  <si>
    <t>Date</t>
  </si>
  <si>
    <t>Large Redware</t>
  </si>
  <si>
    <t>insufficient data</t>
  </si>
  <si>
    <t>Large Yellow ware</t>
  </si>
  <si>
    <t>Small Yellow ware</t>
  </si>
  <si>
    <t>data are suspect &amp; detection almost nonexistent</t>
  </si>
  <si>
    <t>Totals</t>
  </si>
  <si>
    <t>total sherds</t>
  </si>
  <si>
    <t>total lithics</t>
  </si>
  <si>
    <t>LL 10</t>
  </si>
  <si>
    <t>LL 12</t>
  </si>
  <si>
    <t>LL 13</t>
  </si>
  <si>
    <t>LL 14</t>
  </si>
  <si>
    <t>LL 01</t>
  </si>
  <si>
    <t>LL 02</t>
  </si>
  <si>
    <t>LL 03</t>
  </si>
  <si>
    <t>LL 04</t>
  </si>
  <si>
    <t>LL 05</t>
  </si>
  <si>
    <t>LL 06</t>
  </si>
  <si>
    <t>LL 07</t>
  </si>
  <si>
    <t>LL 08</t>
  </si>
  <si>
    <t>LL 09</t>
  </si>
  <si>
    <t>Range</t>
  </si>
  <si>
    <t>LY 01</t>
  </si>
  <si>
    <t>LY 02</t>
  </si>
  <si>
    <t>LY 04</t>
  </si>
  <si>
    <t>LY 05</t>
  </si>
  <si>
    <t>LY 06</t>
  </si>
  <si>
    <t>LY 07</t>
  </si>
  <si>
    <t>LY 08</t>
  </si>
  <si>
    <t>LY 09</t>
  </si>
  <si>
    <t>LY 10</t>
  </si>
  <si>
    <t>LR 01</t>
  </si>
  <si>
    <t>LR 02</t>
  </si>
  <si>
    <t>LR 03</t>
  </si>
  <si>
    <t>LR 04</t>
  </si>
  <si>
    <t>LR 05</t>
  </si>
  <si>
    <t>LR 06</t>
  </si>
  <si>
    <t>LR 07</t>
  </si>
  <si>
    <t>LR 08</t>
  </si>
  <si>
    <t>LR 09</t>
  </si>
  <si>
    <t>LR 10</t>
  </si>
  <si>
    <t>SY 01</t>
  </si>
  <si>
    <t>SY 02</t>
  </si>
  <si>
    <t>SY 03</t>
  </si>
  <si>
    <t>SY 04</t>
  </si>
  <si>
    <t>SY 05</t>
  </si>
  <si>
    <t>SY 06</t>
  </si>
  <si>
    <t>SY 07</t>
  </si>
  <si>
    <t>SY 08</t>
  </si>
  <si>
    <t>SY 09</t>
  </si>
  <si>
    <t>SY 10</t>
  </si>
  <si>
    <t>SY 13</t>
  </si>
  <si>
    <t>SR 01</t>
  </si>
  <si>
    <t>SR 02</t>
  </si>
  <si>
    <t>SR 03</t>
  </si>
  <si>
    <t>SR 04</t>
  </si>
  <si>
    <t>SR 05</t>
  </si>
  <si>
    <t>SR 06</t>
  </si>
  <si>
    <t>SR 07</t>
  </si>
  <si>
    <t>SR 08</t>
  </si>
  <si>
    <t>SR 09</t>
  </si>
  <si>
    <t>SR 13</t>
  </si>
  <si>
    <t>SR 14</t>
  </si>
  <si>
    <t>SR 15</t>
  </si>
  <si>
    <t>SL 01</t>
  </si>
  <si>
    <t>SL 02</t>
  </si>
  <si>
    <t>SL 03</t>
  </si>
  <si>
    <t>SL 04</t>
  </si>
  <si>
    <t>SL 05</t>
  </si>
  <si>
    <t>SL 06</t>
  </si>
  <si>
    <t>SL 07</t>
  </si>
  <si>
    <t>SL 08</t>
  </si>
  <si>
    <t>SL 09</t>
  </si>
  <si>
    <t>SL 14</t>
  </si>
  <si>
    <t>RL</t>
  </si>
  <si>
    <t>Prop by Range</t>
  </si>
  <si>
    <t>Poor estimates and large relative errors on parameters</t>
  </si>
  <si>
    <t>Cum Opps</t>
  </si>
  <si>
    <t>Cum Detected</t>
  </si>
  <si>
    <t>Cum b</t>
  </si>
  <si>
    <t>Cum k</t>
  </si>
  <si>
    <t>Cum W(m)</t>
  </si>
  <si>
    <t>Very poor standard errors and spotty data</t>
  </si>
  <si>
    <t>Time (min)</t>
  </si>
  <si>
    <t>Large Standard Errors</t>
  </si>
  <si>
    <t>LL</t>
  </si>
  <si>
    <t>Large Lithic</t>
  </si>
  <si>
    <t>SL</t>
  </si>
  <si>
    <t>Small Lithic</t>
  </si>
  <si>
    <t>LR</t>
  </si>
  <si>
    <t>Large Red Sherd</t>
  </si>
  <si>
    <t>SR</t>
  </si>
  <si>
    <t>Small Red Sherd</t>
  </si>
  <si>
    <t>LY</t>
  </si>
  <si>
    <t>Large Yellow Sherd</t>
  </si>
  <si>
    <t>SY</t>
  </si>
  <si>
    <t>Small Yellow Sherd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</si>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</sst>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2" fontId="0" fillId="0" borderId="0" xfId="0" applyNumberFormat="1"/>
    <xf numFmtId="0" fontId="0" fillId="0" borderId="1" xfId="0" applyBorder="1"/>
    <xf numFmtId="0" fontId="3" fillId="0" borderId="1" xfId="0" applyFont="1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zoomScale="99" workbookViewId="0">
      <selection activeCell="J11" sqref="J1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118</v>
      </c>
      <c r="I1" t="s">
        <v>210</v>
      </c>
    </row>
    <row r="2" spans="1:9" x14ac:dyDescent="0.2">
      <c r="A2" t="s">
        <v>25</v>
      </c>
      <c r="B2">
        <v>1</v>
      </c>
      <c r="C2">
        <v>22</v>
      </c>
      <c r="D2" t="s">
        <v>63</v>
      </c>
      <c r="E2">
        <v>3</v>
      </c>
      <c r="H2" s="11" t="s">
        <v>198</v>
      </c>
      <c r="I2" t="s">
        <v>199</v>
      </c>
    </row>
    <row r="3" spans="1:9" x14ac:dyDescent="0.2">
      <c r="A3" t="s">
        <v>21</v>
      </c>
      <c r="B3">
        <v>3</v>
      </c>
      <c r="C3">
        <v>7</v>
      </c>
      <c r="D3" t="s">
        <v>62</v>
      </c>
      <c r="E3">
        <v>3</v>
      </c>
      <c r="H3" s="11" t="s">
        <v>200</v>
      </c>
      <c r="I3" t="s">
        <v>201</v>
      </c>
    </row>
    <row r="4" spans="1:9" x14ac:dyDescent="0.2">
      <c r="A4" t="s">
        <v>18</v>
      </c>
      <c r="B4">
        <v>3</v>
      </c>
      <c r="C4">
        <v>1</v>
      </c>
      <c r="D4" t="s">
        <v>62</v>
      </c>
      <c r="E4">
        <v>14</v>
      </c>
      <c r="H4" s="11" t="s">
        <v>202</v>
      </c>
      <c r="I4" t="s">
        <v>203</v>
      </c>
    </row>
    <row r="5" spans="1:9" x14ac:dyDescent="0.2">
      <c r="A5" t="s">
        <v>22</v>
      </c>
      <c r="B5">
        <v>3</v>
      </c>
      <c r="C5">
        <v>18</v>
      </c>
      <c r="D5" t="s">
        <v>62</v>
      </c>
      <c r="E5">
        <v>3</v>
      </c>
      <c r="H5" s="11" t="s">
        <v>204</v>
      </c>
      <c r="I5" t="s">
        <v>205</v>
      </c>
    </row>
    <row r="6" spans="1:9" x14ac:dyDescent="0.2">
      <c r="A6" t="s">
        <v>28</v>
      </c>
      <c r="B6">
        <v>3</v>
      </c>
      <c r="C6">
        <v>19</v>
      </c>
      <c r="D6" t="s">
        <v>62</v>
      </c>
      <c r="E6">
        <v>11</v>
      </c>
      <c r="H6" s="11" t="s">
        <v>206</v>
      </c>
      <c r="I6" t="s">
        <v>207</v>
      </c>
    </row>
    <row r="7" spans="1:9" x14ac:dyDescent="0.2">
      <c r="A7" t="s">
        <v>30</v>
      </c>
      <c r="B7">
        <v>1</v>
      </c>
      <c r="C7">
        <v>46</v>
      </c>
      <c r="D7" t="s">
        <v>63</v>
      </c>
      <c r="E7">
        <v>1</v>
      </c>
      <c r="H7" s="11" t="s">
        <v>208</v>
      </c>
      <c r="I7" t="s">
        <v>209</v>
      </c>
    </row>
    <row r="8" spans="1:9" x14ac:dyDescent="0.2">
      <c r="A8" t="s">
        <v>26</v>
      </c>
      <c r="B8">
        <v>2</v>
      </c>
      <c r="C8">
        <v>39</v>
      </c>
      <c r="D8" t="s">
        <v>62</v>
      </c>
      <c r="E8">
        <v>20</v>
      </c>
    </row>
    <row r="9" spans="1:9" x14ac:dyDescent="0.2">
      <c r="A9" t="s">
        <v>19</v>
      </c>
      <c r="B9">
        <v>2</v>
      </c>
      <c r="C9">
        <v>36</v>
      </c>
      <c r="D9" t="s">
        <v>62</v>
      </c>
      <c r="E9">
        <v>18</v>
      </c>
    </row>
    <row r="10" spans="1:9" x14ac:dyDescent="0.2">
      <c r="A10" t="s">
        <v>23</v>
      </c>
      <c r="B10">
        <v>3</v>
      </c>
      <c r="C10">
        <v>16</v>
      </c>
      <c r="D10" t="s">
        <v>62</v>
      </c>
      <c r="E10">
        <v>11</v>
      </c>
    </row>
    <row r="11" spans="1:9" x14ac:dyDescent="0.2">
      <c r="A11" t="s">
        <v>31</v>
      </c>
      <c r="B11">
        <v>2</v>
      </c>
      <c r="C11">
        <v>46</v>
      </c>
      <c r="D11" t="s">
        <v>62</v>
      </c>
      <c r="E11">
        <v>7</v>
      </c>
    </row>
    <row r="12" spans="1:9" x14ac:dyDescent="0.2">
      <c r="A12" t="s">
        <v>27</v>
      </c>
      <c r="B12">
        <v>2</v>
      </c>
      <c r="C12">
        <v>12</v>
      </c>
      <c r="D12" t="s">
        <v>63</v>
      </c>
      <c r="E12">
        <v>2</v>
      </c>
    </row>
    <row r="13" spans="1:9" x14ac:dyDescent="0.2">
      <c r="A13" t="s">
        <v>29</v>
      </c>
      <c r="B13">
        <v>3</v>
      </c>
      <c r="C13">
        <v>30</v>
      </c>
      <c r="D13" t="s">
        <v>63</v>
      </c>
      <c r="E13">
        <v>6</v>
      </c>
    </row>
    <row r="14" spans="1:9" x14ac:dyDescent="0.2">
      <c r="A14" t="s">
        <v>24</v>
      </c>
      <c r="B14">
        <v>1</v>
      </c>
      <c r="C14">
        <v>30</v>
      </c>
      <c r="D14" t="s">
        <v>63</v>
      </c>
      <c r="E14">
        <v>16</v>
      </c>
    </row>
    <row r="15" spans="1:9" x14ac:dyDescent="0.2">
      <c r="A15" t="s">
        <v>20</v>
      </c>
      <c r="B15">
        <v>3</v>
      </c>
      <c r="C15">
        <v>4</v>
      </c>
      <c r="D15" t="s">
        <v>62</v>
      </c>
      <c r="E15">
        <v>3</v>
      </c>
      <c r="F15">
        <v>14</v>
      </c>
    </row>
    <row r="16" spans="1:9" x14ac:dyDescent="0.2">
      <c r="A16" t="s">
        <v>45</v>
      </c>
      <c r="B16">
        <v>2</v>
      </c>
      <c r="C16">
        <v>2</v>
      </c>
      <c r="D16" t="s">
        <v>63</v>
      </c>
      <c r="E16">
        <v>10</v>
      </c>
    </row>
    <row r="17" spans="1:6" x14ac:dyDescent="0.2">
      <c r="A17" t="s">
        <v>44</v>
      </c>
      <c r="B17">
        <v>1</v>
      </c>
      <c r="C17">
        <v>1</v>
      </c>
      <c r="D17" t="s">
        <v>62</v>
      </c>
      <c r="E17">
        <v>12</v>
      </c>
    </row>
    <row r="18" spans="1:6" x14ac:dyDescent="0.2">
      <c r="A18" t="s">
        <v>47</v>
      </c>
      <c r="B18">
        <v>3</v>
      </c>
      <c r="C18">
        <v>28</v>
      </c>
      <c r="D18" t="s">
        <v>63</v>
      </c>
      <c r="E18">
        <v>19</v>
      </c>
    </row>
    <row r="19" spans="1:6" x14ac:dyDescent="0.2">
      <c r="A19" t="s">
        <v>46</v>
      </c>
      <c r="B19">
        <v>1</v>
      </c>
      <c r="C19">
        <v>37</v>
      </c>
      <c r="D19" t="s">
        <v>63</v>
      </c>
      <c r="E19">
        <v>10</v>
      </c>
      <c r="F19">
        <v>4</v>
      </c>
    </row>
    <row r="20" spans="1:6" x14ac:dyDescent="0.2">
      <c r="A20" t="s">
        <v>58</v>
      </c>
      <c r="B20">
        <v>1</v>
      </c>
      <c r="C20">
        <v>49</v>
      </c>
      <c r="D20" t="s">
        <v>63</v>
      </c>
      <c r="E20">
        <v>14</v>
      </c>
    </row>
    <row r="21" spans="1:6" x14ac:dyDescent="0.2">
      <c r="A21" t="s">
        <v>60</v>
      </c>
      <c r="B21">
        <v>2</v>
      </c>
      <c r="C21">
        <v>24</v>
      </c>
      <c r="D21" t="s">
        <v>62</v>
      </c>
      <c r="E21">
        <v>3</v>
      </c>
    </row>
    <row r="22" spans="1:6" x14ac:dyDescent="0.2">
      <c r="A22" t="s">
        <v>59</v>
      </c>
      <c r="B22">
        <v>3</v>
      </c>
      <c r="C22">
        <v>16</v>
      </c>
      <c r="D22" t="s">
        <v>63</v>
      </c>
      <c r="E22">
        <v>16</v>
      </c>
    </row>
    <row r="23" spans="1:6" x14ac:dyDescent="0.2">
      <c r="A23" t="s">
        <v>61</v>
      </c>
      <c r="B23">
        <v>2</v>
      </c>
      <c r="C23">
        <v>8</v>
      </c>
      <c r="D23" t="s">
        <v>62</v>
      </c>
      <c r="E23">
        <v>14</v>
      </c>
      <c r="F23">
        <v>4</v>
      </c>
    </row>
    <row r="24" spans="1:6" x14ac:dyDescent="0.2">
      <c r="A24" t="s">
        <v>16</v>
      </c>
      <c r="B24">
        <v>1</v>
      </c>
      <c r="C24">
        <v>39</v>
      </c>
      <c r="D24" t="s">
        <v>63</v>
      </c>
      <c r="E24">
        <v>6</v>
      </c>
    </row>
    <row r="25" spans="1:6" x14ac:dyDescent="0.2">
      <c r="A25" t="s">
        <v>8</v>
      </c>
      <c r="B25">
        <v>3</v>
      </c>
      <c r="C25">
        <v>33</v>
      </c>
      <c r="D25" t="s">
        <v>63</v>
      </c>
      <c r="E25">
        <v>7</v>
      </c>
    </row>
    <row r="26" spans="1:6" x14ac:dyDescent="0.2">
      <c r="A26" t="s">
        <v>12</v>
      </c>
      <c r="B26">
        <v>2</v>
      </c>
      <c r="C26">
        <v>28</v>
      </c>
      <c r="D26" t="s">
        <v>62</v>
      </c>
      <c r="E26">
        <v>2</v>
      </c>
    </row>
    <row r="27" spans="1:6" x14ac:dyDescent="0.2">
      <c r="A27" t="s">
        <v>9</v>
      </c>
      <c r="B27">
        <v>2</v>
      </c>
      <c r="C27">
        <v>36</v>
      </c>
      <c r="D27" t="s">
        <v>62</v>
      </c>
      <c r="E27">
        <v>3</v>
      </c>
    </row>
    <row r="28" spans="1:6" x14ac:dyDescent="0.2">
      <c r="A28" t="s">
        <v>14</v>
      </c>
      <c r="B28">
        <v>1</v>
      </c>
      <c r="C28">
        <v>40</v>
      </c>
      <c r="D28" t="s">
        <v>63</v>
      </c>
      <c r="E28">
        <v>8</v>
      </c>
    </row>
    <row r="29" spans="1:6" x14ac:dyDescent="0.2">
      <c r="A29" t="s">
        <v>5</v>
      </c>
      <c r="B29">
        <v>3</v>
      </c>
      <c r="C29">
        <v>48</v>
      </c>
      <c r="D29" t="s">
        <v>62</v>
      </c>
      <c r="E29">
        <v>10</v>
      </c>
    </row>
    <row r="30" spans="1:6" x14ac:dyDescent="0.2">
      <c r="A30" t="s">
        <v>13</v>
      </c>
      <c r="B30">
        <v>3</v>
      </c>
      <c r="C30">
        <v>2</v>
      </c>
      <c r="D30" t="s">
        <v>62</v>
      </c>
      <c r="E30">
        <v>16</v>
      </c>
    </row>
    <row r="31" spans="1:6" x14ac:dyDescent="0.2">
      <c r="A31" t="s">
        <v>11</v>
      </c>
      <c r="B31">
        <v>2</v>
      </c>
      <c r="C31">
        <v>5</v>
      </c>
      <c r="D31" t="s">
        <v>62</v>
      </c>
      <c r="E31">
        <v>20</v>
      </c>
    </row>
    <row r="32" spans="1:6" x14ac:dyDescent="0.2">
      <c r="A32" t="s">
        <v>17</v>
      </c>
      <c r="B32">
        <v>1</v>
      </c>
      <c r="C32">
        <v>6</v>
      </c>
      <c r="D32" t="s">
        <v>62</v>
      </c>
      <c r="E32">
        <v>10</v>
      </c>
    </row>
    <row r="33" spans="1:6" x14ac:dyDescent="0.2">
      <c r="A33" t="s">
        <v>15</v>
      </c>
      <c r="B33">
        <v>2</v>
      </c>
      <c r="C33">
        <v>12</v>
      </c>
      <c r="D33" t="s">
        <v>62</v>
      </c>
      <c r="E33">
        <v>4</v>
      </c>
    </row>
    <row r="34" spans="1:6" x14ac:dyDescent="0.2">
      <c r="A34" t="s">
        <v>6</v>
      </c>
      <c r="B34">
        <v>2</v>
      </c>
      <c r="C34">
        <v>25</v>
      </c>
      <c r="D34" t="s">
        <v>62</v>
      </c>
      <c r="E34">
        <v>9</v>
      </c>
    </row>
    <row r="35" spans="1:6" x14ac:dyDescent="0.2">
      <c r="A35" t="s">
        <v>7</v>
      </c>
      <c r="B35">
        <v>1</v>
      </c>
      <c r="C35">
        <v>43</v>
      </c>
      <c r="D35" t="s">
        <v>62</v>
      </c>
      <c r="E35">
        <v>7</v>
      </c>
    </row>
    <row r="36" spans="1:6" x14ac:dyDescent="0.2">
      <c r="A36" t="s">
        <v>10</v>
      </c>
      <c r="B36">
        <v>1</v>
      </c>
      <c r="C36">
        <v>39</v>
      </c>
      <c r="D36" t="s">
        <v>62</v>
      </c>
      <c r="E36">
        <v>11</v>
      </c>
    </row>
    <row r="37" spans="1:6" x14ac:dyDescent="0.2">
      <c r="A37" t="s">
        <v>64</v>
      </c>
      <c r="B37">
        <v>2</v>
      </c>
      <c r="C37">
        <v>1</v>
      </c>
      <c r="D37" t="s">
        <v>63</v>
      </c>
      <c r="E37">
        <v>13</v>
      </c>
      <c r="F37">
        <v>14</v>
      </c>
    </row>
    <row r="38" spans="1:6" x14ac:dyDescent="0.2">
      <c r="A38" t="s">
        <v>33</v>
      </c>
      <c r="B38">
        <v>1</v>
      </c>
      <c r="C38">
        <v>32</v>
      </c>
      <c r="D38" t="s">
        <v>63</v>
      </c>
      <c r="E38">
        <v>2</v>
      </c>
    </row>
    <row r="39" spans="1:6" x14ac:dyDescent="0.2">
      <c r="A39" t="s">
        <v>32</v>
      </c>
      <c r="B39">
        <v>1</v>
      </c>
      <c r="C39">
        <v>45</v>
      </c>
      <c r="D39" t="s">
        <v>62</v>
      </c>
      <c r="E39">
        <v>19</v>
      </c>
    </row>
    <row r="40" spans="1:6" x14ac:dyDescent="0.2">
      <c r="A40" t="s">
        <v>40</v>
      </c>
      <c r="B40">
        <v>2</v>
      </c>
      <c r="C40">
        <v>28</v>
      </c>
      <c r="D40" t="s">
        <v>62</v>
      </c>
      <c r="E40">
        <v>2</v>
      </c>
    </row>
    <row r="41" spans="1:6" x14ac:dyDescent="0.2">
      <c r="A41" t="s">
        <v>43</v>
      </c>
      <c r="B41">
        <v>1</v>
      </c>
      <c r="C41">
        <v>29</v>
      </c>
      <c r="D41" t="s">
        <v>63</v>
      </c>
      <c r="E41">
        <v>18</v>
      </c>
    </row>
    <row r="42" spans="1:6" x14ac:dyDescent="0.2">
      <c r="A42" t="s">
        <v>41</v>
      </c>
      <c r="B42">
        <v>1</v>
      </c>
      <c r="C42">
        <v>18</v>
      </c>
      <c r="D42" t="s">
        <v>62</v>
      </c>
      <c r="E42">
        <v>9</v>
      </c>
    </row>
    <row r="43" spans="1:6" x14ac:dyDescent="0.2">
      <c r="A43" t="s">
        <v>36</v>
      </c>
      <c r="B43">
        <v>2</v>
      </c>
      <c r="C43">
        <v>21</v>
      </c>
      <c r="D43" t="s">
        <v>63</v>
      </c>
      <c r="E43">
        <v>20</v>
      </c>
    </row>
    <row r="44" spans="1:6" x14ac:dyDescent="0.2">
      <c r="A44" t="s">
        <v>42</v>
      </c>
      <c r="B44">
        <v>2</v>
      </c>
      <c r="C44">
        <v>16</v>
      </c>
      <c r="D44" t="s">
        <v>63</v>
      </c>
      <c r="E44">
        <v>15</v>
      </c>
    </row>
    <row r="45" spans="1:6" x14ac:dyDescent="0.2">
      <c r="A45" t="s">
        <v>37</v>
      </c>
      <c r="B45">
        <v>1</v>
      </c>
      <c r="C45">
        <v>15</v>
      </c>
      <c r="D45" t="s">
        <v>63</v>
      </c>
      <c r="E45">
        <v>3</v>
      </c>
    </row>
    <row r="46" spans="1:6" x14ac:dyDescent="0.2">
      <c r="A46" t="s">
        <v>39</v>
      </c>
      <c r="B46">
        <v>1</v>
      </c>
      <c r="C46">
        <v>43</v>
      </c>
      <c r="D46" t="s">
        <v>62</v>
      </c>
      <c r="E46">
        <v>11</v>
      </c>
    </row>
    <row r="47" spans="1:6" x14ac:dyDescent="0.2">
      <c r="A47" t="s">
        <v>38</v>
      </c>
      <c r="B47">
        <v>3</v>
      </c>
      <c r="C47">
        <v>50</v>
      </c>
      <c r="D47" t="s">
        <v>62</v>
      </c>
      <c r="E47">
        <v>17</v>
      </c>
    </row>
    <row r="48" spans="1:6" x14ac:dyDescent="0.2">
      <c r="A48" t="s">
        <v>34</v>
      </c>
      <c r="B48">
        <v>1</v>
      </c>
      <c r="C48">
        <v>37</v>
      </c>
      <c r="D48" t="s">
        <v>63</v>
      </c>
      <c r="E48">
        <v>15</v>
      </c>
    </row>
    <row r="49" spans="1:6" x14ac:dyDescent="0.2">
      <c r="A49" t="s">
        <v>35</v>
      </c>
      <c r="B49">
        <v>3</v>
      </c>
      <c r="C49">
        <v>33</v>
      </c>
      <c r="D49" t="s">
        <v>63</v>
      </c>
      <c r="E49">
        <v>3</v>
      </c>
      <c r="F49">
        <v>12</v>
      </c>
    </row>
    <row r="50" spans="1:6" x14ac:dyDescent="0.2">
      <c r="A50" t="s">
        <v>55</v>
      </c>
      <c r="B50">
        <v>1</v>
      </c>
      <c r="C50">
        <v>40</v>
      </c>
      <c r="D50" t="s">
        <v>63</v>
      </c>
      <c r="E50">
        <v>18</v>
      </c>
    </row>
    <row r="51" spans="1:6" x14ac:dyDescent="0.2">
      <c r="A51" t="s">
        <v>53</v>
      </c>
      <c r="B51">
        <v>2</v>
      </c>
      <c r="C51">
        <v>33</v>
      </c>
      <c r="D51" t="s">
        <v>62</v>
      </c>
      <c r="E51">
        <v>1</v>
      </c>
    </row>
    <row r="52" spans="1:6" x14ac:dyDescent="0.2">
      <c r="A52" t="s">
        <v>52</v>
      </c>
      <c r="B52">
        <v>2</v>
      </c>
      <c r="C52">
        <v>7</v>
      </c>
      <c r="D52" t="s">
        <v>63</v>
      </c>
      <c r="E52">
        <v>13</v>
      </c>
    </row>
    <row r="53" spans="1:6" x14ac:dyDescent="0.2">
      <c r="A53" t="s">
        <v>57</v>
      </c>
      <c r="B53">
        <v>2</v>
      </c>
      <c r="C53">
        <v>50</v>
      </c>
      <c r="D53" t="s">
        <v>62</v>
      </c>
      <c r="E53">
        <v>18</v>
      </c>
    </row>
    <row r="54" spans="1:6" x14ac:dyDescent="0.2">
      <c r="A54" t="s">
        <v>49</v>
      </c>
      <c r="B54">
        <v>3</v>
      </c>
      <c r="C54">
        <v>42</v>
      </c>
      <c r="D54" t="s">
        <v>62</v>
      </c>
      <c r="E54">
        <v>19</v>
      </c>
    </row>
    <row r="55" spans="1:6" x14ac:dyDescent="0.2">
      <c r="A55" t="s">
        <v>48</v>
      </c>
      <c r="B55">
        <v>1</v>
      </c>
      <c r="C55">
        <v>23</v>
      </c>
      <c r="D55" t="s">
        <v>62</v>
      </c>
      <c r="E55">
        <v>13</v>
      </c>
    </row>
    <row r="56" spans="1:6" x14ac:dyDescent="0.2">
      <c r="A56" t="s">
        <v>50</v>
      </c>
      <c r="B56">
        <v>1</v>
      </c>
      <c r="C56">
        <v>19</v>
      </c>
      <c r="D56" t="s">
        <v>63</v>
      </c>
      <c r="E56">
        <v>15</v>
      </c>
    </row>
    <row r="57" spans="1:6" x14ac:dyDescent="0.2">
      <c r="A57" t="s">
        <v>51</v>
      </c>
      <c r="B57">
        <v>2</v>
      </c>
      <c r="C57">
        <v>22</v>
      </c>
      <c r="D57" t="s">
        <v>63</v>
      </c>
      <c r="E57">
        <v>20</v>
      </c>
    </row>
    <row r="58" spans="1:6" x14ac:dyDescent="0.2">
      <c r="A58" t="s">
        <v>56</v>
      </c>
      <c r="B58">
        <v>1</v>
      </c>
      <c r="C58">
        <v>14</v>
      </c>
      <c r="D58" t="s">
        <v>62</v>
      </c>
      <c r="E58">
        <v>11</v>
      </c>
    </row>
    <row r="59" spans="1:6" x14ac:dyDescent="0.2">
      <c r="A59" t="s">
        <v>54</v>
      </c>
      <c r="B59">
        <v>2</v>
      </c>
      <c r="C59">
        <v>37</v>
      </c>
      <c r="D59" t="s">
        <v>63</v>
      </c>
      <c r="E59">
        <v>11</v>
      </c>
      <c r="F59">
        <v>10</v>
      </c>
    </row>
    <row r="61" spans="1:6" x14ac:dyDescent="0.2">
      <c r="B61" t="s">
        <v>119</v>
      </c>
      <c r="C61">
        <v>30</v>
      </c>
    </row>
    <row r="62" spans="1:6" x14ac:dyDescent="0.2">
      <c r="B62" t="s">
        <v>120</v>
      </c>
      <c r="C62">
        <v>28</v>
      </c>
    </row>
  </sheetData>
  <sortState xmlns:xlrd2="http://schemas.microsoft.com/office/spreadsheetml/2017/richdata2" ref="A2:O59">
    <sortCondition ref="A2:A59"/>
    <sortCondition ref="E2:E5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7"/>
  <sheetViews>
    <sheetView topLeftCell="A30" workbookViewId="0">
      <pane xSplit="5" topLeftCell="AC1" activePane="topRight" state="frozen"/>
      <selection activeCell="A2" sqref="A2"/>
      <selection pane="topRight" activeCell="AC71" sqref="AC71"/>
    </sheetView>
  </sheetViews>
  <sheetFormatPr baseColWidth="10" defaultRowHeight="16" x14ac:dyDescent="0.2"/>
  <cols>
    <col min="38" max="38" width="12.6640625" customWidth="1"/>
    <col min="39" max="39" width="16.6640625" customWidth="1"/>
  </cols>
  <sheetData>
    <row r="1" spans="1:41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100</v>
      </c>
      <c r="AK1" t="s">
        <v>101</v>
      </c>
      <c r="AL1" t="s">
        <v>86</v>
      </c>
      <c r="AM1" s="6" t="s">
        <v>87</v>
      </c>
      <c r="AN1" t="s">
        <v>103</v>
      </c>
      <c r="AO1" t="s">
        <v>104</v>
      </c>
    </row>
    <row r="2" spans="1:41" x14ac:dyDescent="0.2">
      <c r="A2" t="s">
        <v>30</v>
      </c>
      <c r="B2" s="1">
        <v>1</v>
      </c>
      <c r="C2" s="1">
        <v>46</v>
      </c>
      <c r="D2" s="1" t="s">
        <v>63</v>
      </c>
      <c r="E2">
        <v>1</v>
      </c>
      <c r="H2">
        <v>1</v>
      </c>
      <c r="K2">
        <v>1</v>
      </c>
      <c r="M2">
        <v>1</v>
      </c>
      <c r="P2">
        <v>1</v>
      </c>
      <c r="Q2">
        <v>1</v>
      </c>
      <c r="S2">
        <v>1</v>
      </c>
      <c r="T2">
        <v>1</v>
      </c>
      <c r="V2">
        <v>1</v>
      </c>
      <c r="AA2">
        <v>1</v>
      </c>
      <c r="AB2">
        <v>1</v>
      </c>
      <c r="AC2">
        <v>1</v>
      </c>
      <c r="AD2">
        <v>1</v>
      </c>
      <c r="AF2">
        <v>1</v>
      </c>
      <c r="AJ2">
        <v>27</v>
      </c>
      <c r="AK2">
        <f t="shared" ref="AK2:AK33" si="0">SUM(F2:AI2)</f>
        <v>13</v>
      </c>
      <c r="AL2" s="2">
        <f t="shared" ref="AL2:AL33" si="1">AK2/AJ2</f>
        <v>0.48148148148148145</v>
      </c>
      <c r="AM2" s="7"/>
      <c r="AN2">
        <v>1</v>
      </c>
      <c r="AO2">
        <v>0.48</v>
      </c>
    </row>
    <row r="3" spans="1:41" x14ac:dyDescent="0.2">
      <c r="A3" t="s">
        <v>27</v>
      </c>
      <c r="B3" s="1">
        <v>2</v>
      </c>
      <c r="C3" s="1">
        <v>12</v>
      </c>
      <c r="D3" s="1" t="s">
        <v>63</v>
      </c>
      <c r="E3">
        <v>2</v>
      </c>
      <c r="P3">
        <v>1</v>
      </c>
      <c r="S3">
        <v>1</v>
      </c>
      <c r="V3">
        <v>1</v>
      </c>
      <c r="AA3">
        <v>1</v>
      </c>
      <c r="AC3">
        <v>1</v>
      </c>
      <c r="AF3">
        <v>1</v>
      </c>
      <c r="AG3">
        <v>1</v>
      </c>
      <c r="AJ3">
        <v>27</v>
      </c>
      <c r="AK3">
        <f t="shared" si="0"/>
        <v>7</v>
      </c>
      <c r="AL3" s="2">
        <f t="shared" si="1"/>
        <v>0.25925925925925924</v>
      </c>
      <c r="AM3" s="7"/>
      <c r="AN3">
        <v>2</v>
      </c>
      <c r="AO3">
        <v>0.26</v>
      </c>
    </row>
    <row r="4" spans="1:41" x14ac:dyDescent="0.2">
      <c r="A4" t="s">
        <v>25</v>
      </c>
      <c r="B4" s="1">
        <v>1</v>
      </c>
      <c r="C4" s="1">
        <v>22</v>
      </c>
      <c r="D4" s="1" t="s">
        <v>63</v>
      </c>
      <c r="E4">
        <v>3</v>
      </c>
      <c r="G4" s="1">
        <v>1</v>
      </c>
      <c r="H4" s="1">
        <v>1</v>
      </c>
      <c r="K4">
        <v>1</v>
      </c>
      <c r="L4">
        <v>1</v>
      </c>
      <c r="O4">
        <v>1</v>
      </c>
      <c r="S4">
        <v>1</v>
      </c>
      <c r="T4">
        <v>1</v>
      </c>
      <c r="U4">
        <v>1</v>
      </c>
      <c r="V4">
        <v>1</v>
      </c>
      <c r="W4">
        <v>1</v>
      </c>
      <c r="Z4">
        <v>1</v>
      </c>
      <c r="AC4">
        <v>1</v>
      </c>
      <c r="AD4">
        <v>1</v>
      </c>
      <c r="AE4">
        <v>1</v>
      </c>
      <c r="AJ4">
        <v>27</v>
      </c>
      <c r="AK4">
        <f t="shared" si="0"/>
        <v>14</v>
      </c>
      <c r="AL4" s="2">
        <f t="shared" si="1"/>
        <v>0.51851851851851849</v>
      </c>
      <c r="AM4" s="7">
        <f>SUM(AK4:AK17)/SUM(AJ4:AJ17)</f>
        <v>6.8783068783068779E-2</v>
      </c>
      <c r="AN4">
        <v>3</v>
      </c>
      <c r="AO4">
        <f>SUM(AK4:AK7)/SUM(AJ4:AJ7)</f>
        <v>0.21296296296296297</v>
      </c>
    </row>
    <row r="5" spans="1:41" x14ac:dyDescent="0.2">
      <c r="A5" t="s">
        <v>21</v>
      </c>
      <c r="B5" s="1">
        <v>3</v>
      </c>
      <c r="C5" s="1">
        <v>7</v>
      </c>
      <c r="D5" s="1" t="s">
        <v>62</v>
      </c>
      <c r="E5">
        <v>3</v>
      </c>
      <c r="M5">
        <v>1</v>
      </c>
      <c r="AD5">
        <v>1</v>
      </c>
      <c r="AE5">
        <v>1</v>
      </c>
      <c r="AJ5">
        <v>27</v>
      </c>
      <c r="AK5">
        <f t="shared" si="0"/>
        <v>3</v>
      </c>
      <c r="AL5" s="2">
        <f t="shared" si="1"/>
        <v>0.1111111111111111</v>
      </c>
      <c r="AM5" s="7"/>
    </row>
    <row r="6" spans="1:41" x14ac:dyDescent="0.2">
      <c r="A6" t="s">
        <v>22</v>
      </c>
      <c r="B6" s="1">
        <v>3</v>
      </c>
      <c r="C6" s="1">
        <v>18</v>
      </c>
      <c r="D6" s="1" t="s">
        <v>62</v>
      </c>
      <c r="E6">
        <v>3</v>
      </c>
      <c r="T6">
        <v>1</v>
      </c>
      <c r="AJ6">
        <v>27</v>
      </c>
      <c r="AK6">
        <f t="shared" si="0"/>
        <v>1</v>
      </c>
      <c r="AL6" s="2">
        <f t="shared" si="1"/>
        <v>3.7037037037037035E-2</v>
      </c>
      <c r="AM6" s="7"/>
    </row>
    <row r="7" spans="1:41" x14ac:dyDescent="0.2">
      <c r="A7" t="s">
        <v>20</v>
      </c>
      <c r="B7" s="1">
        <v>3</v>
      </c>
      <c r="C7" s="1">
        <v>4</v>
      </c>
      <c r="D7" s="1" t="s">
        <v>62</v>
      </c>
      <c r="E7">
        <v>3</v>
      </c>
      <c r="M7">
        <v>1</v>
      </c>
      <c r="T7">
        <v>1</v>
      </c>
      <c r="V7">
        <v>1</v>
      </c>
      <c r="AD7">
        <v>1</v>
      </c>
      <c r="AG7">
        <v>1</v>
      </c>
      <c r="AJ7">
        <v>27</v>
      </c>
      <c r="AK7">
        <f t="shared" si="0"/>
        <v>5</v>
      </c>
      <c r="AL7" s="2">
        <f t="shared" si="1"/>
        <v>0.18518518518518517</v>
      </c>
      <c r="AM7" s="7"/>
    </row>
    <row r="8" spans="1:41" x14ac:dyDescent="0.2">
      <c r="A8" t="s">
        <v>29</v>
      </c>
      <c r="B8" s="1">
        <v>3</v>
      </c>
      <c r="C8" s="1">
        <v>30</v>
      </c>
      <c r="D8" s="1" t="s">
        <v>63</v>
      </c>
      <c r="E8">
        <v>6</v>
      </c>
      <c r="Z8">
        <v>1</v>
      </c>
      <c r="AJ8">
        <v>27</v>
      </c>
      <c r="AK8">
        <f t="shared" si="0"/>
        <v>1</v>
      </c>
      <c r="AL8" s="2">
        <f t="shared" si="1"/>
        <v>3.7037037037037035E-2</v>
      </c>
      <c r="AM8" s="7"/>
      <c r="AN8">
        <v>6</v>
      </c>
      <c r="AO8">
        <v>0.04</v>
      </c>
    </row>
    <row r="9" spans="1:41" x14ac:dyDescent="0.2">
      <c r="A9" t="s">
        <v>31</v>
      </c>
      <c r="B9" s="1">
        <v>2</v>
      </c>
      <c r="C9" s="1">
        <v>46</v>
      </c>
      <c r="D9" s="1" t="s">
        <v>62</v>
      </c>
      <c r="E9">
        <v>7</v>
      </c>
      <c r="M9">
        <v>1</v>
      </c>
      <c r="AJ9">
        <v>27</v>
      </c>
      <c r="AK9">
        <f t="shared" si="0"/>
        <v>1</v>
      </c>
      <c r="AL9" s="2">
        <f t="shared" si="1"/>
        <v>3.7037037037037035E-2</v>
      </c>
      <c r="AM9" s="7"/>
      <c r="AN9">
        <v>7</v>
      </c>
      <c r="AO9">
        <v>0.04</v>
      </c>
    </row>
    <row r="10" spans="1:41" x14ac:dyDescent="0.2">
      <c r="A10" t="s">
        <v>28</v>
      </c>
      <c r="B10" s="1">
        <v>3</v>
      </c>
      <c r="C10" s="1">
        <v>19</v>
      </c>
      <c r="D10" s="1" t="s">
        <v>62</v>
      </c>
      <c r="E10">
        <v>11</v>
      </c>
      <c r="AJ10">
        <v>27</v>
      </c>
      <c r="AK10">
        <f t="shared" si="0"/>
        <v>0</v>
      </c>
      <c r="AL10" s="2">
        <f t="shared" si="1"/>
        <v>0</v>
      </c>
      <c r="AM10" s="7"/>
      <c r="AN10">
        <v>11</v>
      </c>
      <c r="AO10">
        <f>SUM(AK10:AK11)/SUM(AJ10:AJ11)</f>
        <v>0</v>
      </c>
    </row>
    <row r="11" spans="1:41" x14ac:dyDescent="0.2">
      <c r="A11" t="s">
        <v>23</v>
      </c>
      <c r="B11" s="1">
        <v>3</v>
      </c>
      <c r="C11" s="1">
        <v>16</v>
      </c>
      <c r="D11" s="1" t="s">
        <v>62</v>
      </c>
      <c r="E11">
        <v>11</v>
      </c>
      <c r="AJ11">
        <v>27</v>
      </c>
      <c r="AK11">
        <f t="shared" si="0"/>
        <v>0</v>
      </c>
      <c r="AL11" s="2">
        <f t="shared" si="1"/>
        <v>0</v>
      </c>
      <c r="AM11" s="7"/>
    </row>
    <row r="12" spans="1:41" x14ac:dyDescent="0.2">
      <c r="A12" t="s">
        <v>18</v>
      </c>
      <c r="B12" s="1">
        <v>3</v>
      </c>
      <c r="C12" s="1">
        <v>1</v>
      </c>
      <c r="D12" s="1" t="s">
        <v>62</v>
      </c>
      <c r="E12">
        <v>14</v>
      </c>
      <c r="AJ12">
        <v>27</v>
      </c>
      <c r="AK12">
        <f t="shared" si="0"/>
        <v>0</v>
      </c>
      <c r="AL12" s="2">
        <f t="shared" si="1"/>
        <v>0</v>
      </c>
      <c r="AM12" s="7"/>
      <c r="AN12">
        <v>14</v>
      </c>
      <c r="AO12">
        <v>0</v>
      </c>
    </row>
    <row r="13" spans="1:41" x14ac:dyDescent="0.2">
      <c r="A13" t="s">
        <v>24</v>
      </c>
      <c r="B13" s="1">
        <v>1</v>
      </c>
      <c r="C13" s="1">
        <v>30</v>
      </c>
      <c r="D13" s="1" t="s">
        <v>63</v>
      </c>
      <c r="E13">
        <v>16</v>
      </c>
      <c r="AJ13">
        <v>27</v>
      </c>
      <c r="AK13">
        <f t="shared" si="0"/>
        <v>0</v>
      </c>
      <c r="AL13" s="2">
        <f t="shared" si="1"/>
        <v>0</v>
      </c>
      <c r="AM13" s="7"/>
      <c r="AN13">
        <v>16</v>
      </c>
      <c r="AO13">
        <v>0</v>
      </c>
    </row>
    <row r="14" spans="1:41" x14ac:dyDescent="0.2">
      <c r="A14" t="s">
        <v>19</v>
      </c>
      <c r="B14" s="1">
        <v>2</v>
      </c>
      <c r="C14" s="1">
        <v>36</v>
      </c>
      <c r="D14" s="1" t="s">
        <v>62</v>
      </c>
      <c r="E14">
        <v>18</v>
      </c>
      <c r="AJ14">
        <v>27</v>
      </c>
      <c r="AK14">
        <f t="shared" si="0"/>
        <v>0</v>
      </c>
      <c r="AL14" s="2">
        <f t="shared" si="1"/>
        <v>0</v>
      </c>
      <c r="AM14" s="7"/>
      <c r="AN14">
        <v>18</v>
      </c>
      <c r="AO14">
        <v>0</v>
      </c>
    </row>
    <row r="15" spans="1:41" s="3" customFormat="1" x14ac:dyDescent="0.2">
      <c r="A15" s="3" t="s">
        <v>26</v>
      </c>
      <c r="B15" s="4">
        <v>2</v>
      </c>
      <c r="C15" s="4">
        <v>39</v>
      </c>
      <c r="D15" s="4" t="s">
        <v>62</v>
      </c>
      <c r="E15" s="3">
        <v>20</v>
      </c>
      <c r="AJ15" s="3">
        <v>27</v>
      </c>
      <c r="AK15" s="3">
        <f t="shared" si="0"/>
        <v>0</v>
      </c>
      <c r="AL15" s="5">
        <f t="shared" si="1"/>
        <v>0</v>
      </c>
      <c r="AM15" s="8"/>
      <c r="AN15" s="3">
        <v>20</v>
      </c>
      <c r="AO15" s="3">
        <v>0</v>
      </c>
    </row>
    <row r="16" spans="1:41" x14ac:dyDescent="0.2">
      <c r="A16" t="s">
        <v>45</v>
      </c>
      <c r="B16" s="1">
        <v>2</v>
      </c>
      <c r="C16" s="1">
        <v>2</v>
      </c>
      <c r="D16" s="1" t="s">
        <v>63</v>
      </c>
      <c r="E16">
        <v>10</v>
      </c>
      <c r="AJ16">
        <v>27</v>
      </c>
      <c r="AK16">
        <f t="shared" si="0"/>
        <v>0</v>
      </c>
      <c r="AL16" s="2">
        <f t="shared" si="1"/>
        <v>0</v>
      </c>
      <c r="AM16" s="7">
        <f>SUM(AK16:AK19)/SUM(AJ16:AJ19)</f>
        <v>9.2592592592592587E-3</v>
      </c>
      <c r="AN16">
        <v>10</v>
      </c>
      <c r="AO16">
        <f>1/(2*27)</f>
        <v>1.8518518518518517E-2</v>
      </c>
    </row>
    <row r="17" spans="1:41" x14ac:dyDescent="0.2">
      <c r="A17" t="s">
        <v>46</v>
      </c>
      <c r="B17" s="1">
        <v>1</v>
      </c>
      <c r="C17" s="1">
        <v>37</v>
      </c>
      <c r="D17" s="1" t="s">
        <v>63</v>
      </c>
      <c r="E17">
        <v>10</v>
      </c>
      <c r="P17">
        <v>1</v>
      </c>
      <c r="AJ17">
        <v>27</v>
      </c>
      <c r="AK17">
        <f t="shared" si="0"/>
        <v>1</v>
      </c>
      <c r="AL17" s="2">
        <f t="shared" si="1"/>
        <v>3.7037037037037035E-2</v>
      </c>
      <c r="AM17" s="7"/>
    </row>
    <row r="18" spans="1:41" x14ac:dyDescent="0.2">
      <c r="A18" t="s">
        <v>44</v>
      </c>
      <c r="B18" s="1">
        <v>1</v>
      </c>
      <c r="C18" s="1">
        <v>1</v>
      </c>
      <c r="D18" s="1" t="s">
        <v>62</v>
      </c>
      <c r="E18">
        <v>12</v>
      </c>
      <c r="AJ18">
        <v>27</v>
      </c>
      <c r="AK18">
        <f t="shared" si="0"/>
        <v>0</v>
      </c>
      <c r="AL18" s="2">
        <f t="shared" si="1"/>
        <v>0</v>
      </c>
      <c r="AM18" s="7"/>
      <c r="AN18">
        <v>12</v>
      </c>
      <c r="AO18">
        <v>0</v>
      </c>
    </row>
    <row r="19" spans="1:41" s="3" customFormat="1" x14ac:dyDescent="0.2">
      <c r="A19" s="3" t="s">
        <v>47</v>
      </c>
      <c r="B19" s="4">
        <v>3</v>
      </c>
      <c r="C19" s="4">
        <v>28</v>
      </c>
      <c r="D19" s="4" t="s">
        <v>63</v>
      </c>
      <c r="E19" s="3">
        <v>19</v>
      </c>
      <c r="AJ19" s="3">
        <v>27</v>
      </c>
      <c r="AK19" s="3">
        <f t="shared" si="0"/>
        <v>0</v>
      </c>
      <c r="AL19" s="5">
        <f t="shared" si="1"/>
        <v>0</v>
      </c>
      <c r="AM19" s="8"/>
      <c r="AN19" s="3">
        <v>19</v>
      </c>
      <c r="AO19" s="3">
        <v>0</v>
      </c>
    </row>
    <row r="20" spans="1:41" x14ac:dyDescent="0.2">
      <c r="A20" t="s">
        <v>60</v>
      </c>
      <c r="B20" s="1">
        <v>2</v>
      </c>
      <c r="C20" s="1">
        <v>24</v>
      </c>
      <c r="D20" s="1" t="s">
        <v>62</v>
      </c>
      <c r="E20">
        <v>3</v>
      </c>
      <c r="J20">
        <v>1</v>
      </c>
      <c r="Q20">
        <v>1</v>
      </c>
      <c r="T20">
        <v>1</v>
      </c>
      <c r="W20">
        <v>1</v>
      </c>
      <c r="AA20">
        <v>1</v>
      </c>
      <c r="AB20">
        <v>1</v>
      </c>
      <c r="AD20">
        <v>1</v>
      </c>
      <c r="AE20">
        <v>1</v>
      </c>
      <c r="AG20">
        <v>1</v>
      </c>
      <c r="AJ20">
        <v>27</v>
      </c>
      <c r="AK20">
        <f t="shared" si="0"/>
        <v>9</v>
      </c>
      <c r="AL20" s="2">
        <f t="shared" si="1"/>
        <v>0.33333333333333331</v>
      </c>
      <c r="AM20" s="7"/>
      <c r="AN20">
        <v>3</v>
      </c>
      <c r="AO20">
        <v>0.33</v>
      </c>
    </row>
    <row r="21" spans="1:41" x14ac:dyDescent="0.2">
      <c r="A21" t="s">
        <v>58</v>
      </c>
      <c r="B21" s="1">
        <v>1</v>
      </c>
      <c r="C21" s="1">
        <v>49</v>
      </c>
      <c r="D21" s="1" t="s">
        <v>63</v>
      </c>
      <c r="E21">
        <v>14</v>
      </c>
      <c r="AJ21">
        <v>27</v>
      </c>
      <c r="AK21">
        <f t="shared" si="0"/>
        <v>0</v>
      </c>
      <c r="AL21" s="2">
        <f t="shared" si="1"/>
        <v>0</v>
      </c>
      <c r="AM21" s="7">
        <f>SUM(AK21:AK24)/SUM(AJ21:AJ24)</f>
        <v>0.10185185185185185</v>
      </c>
      <c r="AN21">
        <v>14</v>
      </c>
      <c r="AO21">
        <v>0</v>
      </c>
    </row>
    <row r="22" spans="1:41" x14ac:dyDescent="0.2">
      <c r="A22" t="s">
        <v>61</v>
      </c>
      <c r="B22" s="1">
        <v>2</v>
      </c>
      <c r="C22" s="1">
        <v>8</v>
      </c>
      <c r="D22" s="1" t="s">
        <v>62</v>
      </c>
      <c r="E22">
        <v>14</v>
      </c>
      <c r="AJ22">
        <v>27</v>
      </c>
      <c r="AK22">
        <f t="shared" si="0"/>
        <v>0</v>
      </c>
      <c r="AL22" s="2">
        <f t="shared" si="1"/>
        <v>0</v>
      </c>
      <c r="AM22" s="7"/>
    </row>
    <row r="23" spans="1:41" s="3" customFormat="1" x14ac:dyDescent="0.2">
      <c r="A23" s="3" t="s">
        <v>59</v>
      </c>
      <c r="B23" s="4">
        <v>3</v>
      </c>
      <c r="C23" s="4">
        <v>16</v>
      </c>
      <c r="D23" s="4" t="s">
        <v>63</v>
      </c>
      <c r="E23" s="3">
        <v>16</v>
      </c>
      <c r="AJ23" s="3">
        <v>27</v>
      </c>
      <c r="AK23" s="3">
        <f t="shared" si="0"/>
        <v>0</v>
      </c>
      <c r="AL23" s="5">
        <f t="shared" si="1"/>
        <v>0</v>
      </c>
      <c r="AM23" s="8"/>
      <c r="AN23" s="3">
        <v>16</v>
      </c>
      <c r="AO23" s="3">
        <v>0</v>
      </c>
    </row>
    <row r="24" spans="1:41" x14ac:dyDescent="0.2">
      <c r="A24" t="s">
        <v>12</v>
      </c>
      <c r="B24" s="1">
        <v>2</v>
      </c>
      <c r="C24" s="1">
        <v>28</v>
      </c>
      <c r="D24" s="1" t="s">
        <v>62</v>
      </c>
      <c r="E24">
        <v>2</v>
      </c>
      <c r="F24" s="1">
        <v>1</v>
      </c>
      <c r="G24" s="1">
        <v>1</v>
      </c>
      <c r="H24" s="1">
        <v>1</v>
      </c>
      <c r="I24">
        <v>1</v>
      </c>
      <c r="M24">
        <v>1</v>
      </c>
      <c r="O24">
        <v>1</v>
      </c>
      <c r="S24">
        <v>1</v>
      </c>
      <c r="T24">
        <v>1</v>
      </c>
      <c r="Y24">
        <v>1</v>
      </c>
      <c r="AE24">
        <v>1</v>
      </c>
      <c r="AI24">
        <v>1</v>
      </c>
      <c r="AJ24">
        <v>27</v>
      </c>
      <c r="AK24">
        <f t="shared" si="0"/>
        <v>11</v>
      </c>
      <c r="AL24" s="2">
        <f t="shared" si="1"/>
        <v>0.40740740740740738</v>
      </c>
      <c r="AM24" s="7"/>
      <c r="AN24">
        <v>2</v>
      </c>
      <c r="AO24">
        <v>0.41</v>
      </c>
    </row>
    <row r="25" spans="1:41" x14ac:dyDescent="0.2">
      <c r="A25" t="s">
        <v>9</v>
      </c>
      <c r="B25" s="1">
        <v>2</v>
      </c>
      <c r="C25" s="1">
        <v>36</v>
      </c>
      <c r="D25" s="1" t="s">
        <v>62</v>
      </c>
      <c r="E25">
        <v>3</v>
      </c>
      <c r="G25" s="1"/>
      <c r="T25">
        <v>1</v>
      </c>
      <c r="AJ25">
        <v>27</v>
      </c>
      <c r="AK25">
        <f t="shared" si="0"/>
        <v>1</v>
      </c>
      <c r="AL25" s="2">
        <f t="shared" si="1"/>
        <v>3.7037037037037035E-2</v>
      </c>
      <c r="AM25" s="7"/>
      <c r="AN25">
        <v>3</v>
      </c>
      <c r="AO25">
        <v>0.04</v>
      </c>
    </row>
    <row r="26" spans="1:41" x14ac:dyDescent="0.2">
      <c r="A26" t="s">
        <v>15</v>
      </c>
      <c r="B26" s="1">
        <v>2</v>
      </c>
      <c r="C26" s="1">
        <v>12</v>
      </c>
      <c r="D26" s="1" t="s">
        <v>62</v>
      </c>
      <c r="E26">
        <v>4</v>
      </c>
      <c r="G26" s="1">
        <v>1</v>
      </c>
      <c r="U26">
        <v>1</v>
      </c>
      <c r="AI26">
        <v>1</v>
      </c>
      <c r="AJ26">
        <v>27</v>
      </c>
      <c r="AK26">
        <f t="shared" si="0"/>
        <v>3</v>
      </c>
      <c r="AL26" s="2">
        <f t="shared" si="1"/>
        <v>0.1111111111111111</v>
      </c>
      <c r="AM26" s="7"/>
      <c r="AN26">
        <v>4</v>
      </c>
      <c r="AO26">
        <v>0.11</v>
      </c>
    </row>
    <row r="27" spans="1:41" x14ac:dyDescent="0.2">
      <c r="A27" t="s">
        <v>16</v>
      </c>
      <c r="B27" s="1">
        <v>1</v>
      </c>
      <c r="C27" s="1">
        <v>39</v>
      </c>
      <c r="D27" s="1" t="s">
        <v>63</v>
      </c>
      <c r="E27">
        <v>6</v>
      </c>
      <c r="J27">
        <v>1</v>
      </c>
      <c r="Y27">
        <v>1</v>
      </c>
      <c r="AG27">
        <v>1</v>
      </c>
      <c r="AJ27">
        <v>27</v>
      </c>
      <c r="AK27">
        <f t="shared" si="0"/>
        <v>3</v>
      </c>
      <c r="AL27" s="2">
        <f t="shared" si="1"/>
        <v>0.1111111111111111</v>
      </c>
      <c r="AM27" s="7">
        <f>SUM(AK27:AK40)/SUM(AJ27:AJ40)</f>
        <v>0.12433862433862433</v>
      </c>
      <c r="AN27">
        <v>6</v>
      </c>
      <c r="AO27">
        <v>0.11</v>
      </c>
    </row>
    <row r="28" spans="1:41" x14ac:dyDescent="0.2">
      <c r="A28" t="s">
        <v>8</v>
      </c>
      <c r="B28" s="1">
        <v>3</v>
      </c>
      <c r="C28" s="1">
        <v>33</v>
      </c>
      <c r="D28" s="1" t="s">
        <v>63</v>
      </c>
      <c r="E28">
        <v>7</v>
      </c>
      <c r="Z28">
        <v>1</v>
      </c>
      <c r="AJ28">
        <v>27</v>
      </c>
      <c r="AK28">
        <f t="shared" si="0"/>
        <v>1</v>
      </c>
      <c r="AL28" s="2">
        <f t="shared" si="1"/>
        <v>3.7037037037037035E-2</v>
      </c>
      <c r="AM28" s="7"/>
      <c r="AN28">
        <v>7</v>
      </c>
      <c r="AO28">
        <f>SUM(AK28:AK29)/SUM(AJ28:AJ29)</f>
        <v>1.8518518518518517E-2</v>
      </c>
    </row>
    <row r="29" spans="1:41" x14ac:dyDescent="0.2">
      <c r="A29" t="s">
        <v>7</v>
      </c>
      <c r="B29" s="1">
        <v>1</v>
      </c>
      <c r="C29" s="1">
        <v>43</v>
      </c>
      <c r="D29" s="1" t="s">
        <v>62</v>
      </c>
      <c r="E29">
        <v>7</v>
      </c>
      <c r="AJ29">
        <v>27</v>
      </c>
      <c r="AK29">
        <f t="shared" si="0"/>
        <v>0</v>
      </c>
      <c r="AL29" s="2">
        <f t="shared" si="1"/>
        <v>0</v>
      </c>
      <c r="AM29" s="7"/>
    </row>
    <row r="30" spans="1:41" x14ac:dyDescent="0.2">
      <c r="A30" t="s">
        <v>14</v>
      </c>
      <c r="B30" s="1">
        <v>1</v>
      </c>
      <c r="C30" s="1">
        <v>40</v>
      </c>
      <c r="D30" s="1" t="s">
        <v>63</v>
      </c>
      <c r="E30">
        <v>8</v>
      </c>
      <c r="Q30">
        <v>1</v>
      </c>
      <c r="AJ30">
        <v>27</v>
      </c>
      <c r="AK30">
        <f t="shared" si="0"/>
        <v>1</v>
      </c>
      <c r="AL30" s="2">
        <f t="shared" si="1"/>
        <v>3.7037037037037035E-2</v>
      </c>
      <c r="AM30" s="7"/>
      <c r="AN30">
        <v>8</v>
      </c>
      <c r="AO30">
        <v>0.04</v>
      </c>
    </row>
    <row r="31" spans="1:41" x14ac:dyDescent="0.2">
      <c r="A31" t="s">
        <v>6</v>
      </c>
      <c r="B31" s="1">
        <v>2</v>
      </c>
      <c r="C31" s="1">
        <v>25</v>
      </c>
      <c r="D31" s="1" t="s">
        <v>62</v>
      </c>
      <c r="E31">
        <v>9</v>
      </c>
      <c r="AJ31">
        <v>27</v>
      </c>
      <c r="AK31">
        <f t="shared" si="0"/>
        <v>0</v>
      </c>
      <c r="AL31" s="2">
        <f t="shared" si="1"/>
        <v>0</v>
      </c>
      <c r="AM31" s="7"/>
      <c r="AN31">
        <v>9</v>
      </c>
      <c r="AO31">
        <v>0</v>
      </c>
    </row>
    <row r="32" spans="1:41" x14ac:dyDescent="0.2">
      <c r="A32" t="s">
        <v>5</v>
      </c>
      <c r="B32" s="1">
        <v>3</v>
      </c>
      <c r="C32" s="1">
        <v>48</v>
      </c>
      <c r="D32" s="1" t="s">
        <v>62</v>
      </c>
      <c r="E32">
        <v>10</v>
      </c>
      <c r="AJ32">
        <v>27</v>
      </c>
      <c r="AK32">
        <f t="shared" si="0"/>
        <v>0</v>
      </c>
      <c r="AL32" s="2">
        <f t="shared" si="1"/>
        <v>0</v>
      </c>
      <c r="AM32" s="7"/>
      <c r="AN32">
        <v>10</v>
      </c>
      <c r="AO32">
        <v>0</v>
      </c>
    </row>
    <row r="33" spans="1:41" x14ac:dyDescent="0.2">
      <c r="A33" t="s">
        <v>17</v>
      </c>
      <c r="B33" s="1">
        <v>1</v>
      </c>
      <c r="C33" s="1">
        <v>6</v>
      </c>
      <c r="D33" s="1" t="s">
        <v>62</v>
      </c>
      <c r="E33">
        <v>10</v>
      </c>
      <c r="AJ33">
        <v>27</v>
      </c>
      <c r="AK33">
        <f t="shared" si="0"/>
        <v>0</v>
      </c>
      <c r="AL33" s="2">
        <f t="shared" si="1"/>
        <v>0</v>
      </c>
      <c r="AM33" s="7"/>
    </row>
    <row r="34" spans="1:41" x14ac:dyDescent="0.2">
      <c r="A34" t="s">
        <v>10</v>
      </c>
      <c r="B34" s="1">
        <v>1</v>
      </c>
      <c r="C34" s="1">
        <v>39</v>
      </c>
      <c r="D34" s="1" t="s">
        <v>62</v>
      </c>
      <c r="E34">
        <v>11</v>
      </c>
      <c r="AJ34">
        <v>27</v>
      </c>
      <c r="AK34">
        <f t="shared" ref="AK34:AK59" si="2">SUM(F34:AI34)</f>
        <v>0</v>
      </c>
      <c r="AL34" s="2">
        <f t="shared" ref="AL34:AL59" si="3">AK34/AJ34</f>
        <v>0</v>
      </c>
      <c r="AM34" s="7"/>
      <c r="AN34">
        <v>11</v>
      </c>
      <c r="AO34">
        <v>0</v>
      </c>
    </row>
    <row r="35" spans="1:41" x14ac:dyDescent="0.2">
      <c r="A35" t="s">
        <v>64</v>
      </c>
      <c r="B35" s="1">
        <v>2</v>
      </c>
      <c r="C35" s="1">
        <v>1</v>
      </c>
      <c r="D35" s="1" t="s">
        <v>63</v>
      </c>
      <c r="E35">
        <v>13</v>
      </c>
      <c r="AJ35">
        <v>27</v>
      </c>
      <c r="AK35">
        <f t="shared" si="2"/>
        <v>0</v>
      </c>
      <c r="AL35" s="2">
        <f t="shared" si="3"/>
        <v>0</v>
      </c>
      <c r="AM35" s="7"/>
      <c r="AN35">
        <v>13</v>
      </c>
      <c r="AO35">
        <v>0</v>
      </c>
    </row>
    <row r="36" spans="1:41" x14ac:dyDescent="0.2">
      <c r="A36" t="s">
        <v>13</v>
      </c>
      <c r="B36" s="1">
        <v>3</v>
      </c>
      <c r="C36" s="1">
        <v>2</v>
      </c>
      <c r="D36" s="1" t="s">
        <v>62</v>
      </c>
      <c r="E36">
        <v>16</v>
      </c>
      <c r="AJ36">
        <v>27</v>
      </c>
      <c r="AK36">
        <f t="shared" si="2"/>
        <v>0</v>
      </c>
      <c r="AL36" s="2">
        <f t="shared" si="3"/>
        <v>0</v>
      </c>
      <c r="AM36" s="7"/>
      <c r="AN36">
        <v>16</v>
      </c>
      <c r="AO36">
        <v>0</v>
      </c>
    </row>
    <row r="37" spans="1:41" s="3" customFormat="1" x14ac:dyDescent="0.2">
      <c r="A37" s="3" t="s">
        <v>11</v>
      </c>
      <c r="B37" s="4">
        <v>2</v>
      </c>
      <c r="C37" s="4">
        <v>5</v>
      </c>
      <c r="D37" s="4" t="s">
        <v>62</v>
      </c>
      <c r="E37" s="3">
        <v>20</v>
      </c>
      <c r="AJ37" s="3">
        <v>27</v>
      </c>
      <c r="AK37" s="3">
        <f t="shared" si="2"/>
        <v>0</v>
      </c>
      <c r="AL37" s="5">
        <f t="shared" si="3"/>
        <v>0</v>
      </c>
      <c r="AM37" s="8"/>
      <c r="AN37" s="3">
        <v>20</v>
      </c>
      <c r="AO37" s="3">
        <v>0</v>
      </c>
    </row>
    <row r="38" spans="1:41" x14ac:dyDescent="0.2">
      <c r="A38" t="s">
        <v>33</v>
      </c>
      <c r="B38" s="1">
        <v>1</v>
      </c>
      <c r="C38" s="1">
        <v>32</v>
      </c>
      <c r="D38" s="1" t="s">
        <v>63</v>
      </c>
      <c r="E38">
        <v>2</v>
      </c>
      <c r="I38">
        <v>1</v>
      </c>
      <c r="K38">
        <v>1</v>
      </c>
      <c r="L38">
        <v>1</v>
      </c>
      <c r="Q38">
        <v>1</v>
      </c>
      <c r="T38">
        <v>1</v>
      </c>
      <c r="U38">
        <v>1</v>
      </c>
      <c r="AB38">
        <v>1</v>
      </c>
      <c r="AC38">
        <v>1</v>
      </c>
      <c r="AE38">
        <v>1</v>
      </c>
      <c r="AJ38">
        <v>27</v>
      </c>
      <c r="AK38">
        <f t="shared" si="2"/>
        <v>9</v>
      </c>
      <c r="AL38" s="2">
        <f t="shared" si="3"/>
        <v>0.33333333333333331</v>
      </c>
      <c r="AM38" s="7">
        <f>SUM(AK38:AK49)/SUM(AJ38:AJ49)</f>
        <v>0.15740740740740741</v>
      </c>
      <c r="AN38">
        <v>2</v>
      </c>
      <c r="AO38">
        <f>SUM(AK38:AK39)/SUM(AJ38:AJ39)</f>
        <v>0.46296296296296297</v>
      </c>
    </row>
    <row r="39" spans="1:41" x14ac:dyDescent="0.2">
      <c r="A39" t="s">
        <v>40</v>
      </c>
      <c r="B39" s="1">
        <v>2</v>
      </c>
      <c r="C39" s="1">
        <v>28</v>
      </c>
      <c r="D39" s="1" t="s">
        <v>62</v>
      </c>
      <c r="E39">
        <v>2</v>
      </c>
      <c r="G39" s="1">
        <v>1</v>
      </c>
      <c r="H39" s="1">
        <v>1</v>
      </c>
      <c r="I39">
        <v>1</v>
      </c>
      <c r="J39">
        <v>1</v>
      </c>
      <c r="K39">
        <v>1</v>
      </c>
      <c r="M39">
        <v>1</v>
      </c>
      <c r="O39">
        <v>1</v>
      </c>
      <c r="R39">
        <v>1</v>
      </c>
      <c r="W39">
        <v>1</v>
      </c>
      <c r="Y39">
        <v>1</v>
      </c>
      <c r="Z39">
        <v>1</v>
      </c>
      <c r="AC39">
        <v>1</v>
      </c>
      <c r="AD39">
        <v>1</v>
      </c>
      <c r="AE39">
        <v>1</v>
      </c>
      <c r="AF39">
        <v>1</v>
      </c>
      <c r="AI39">
        <v>1</v>
      </c>
      <c r="AJ39">
        <v>27</v>
      </c>
      <c r="AK39">
        <f t="shared" si="2"/>
        <v>16</v>
      </c>
      <c r="AL39" s="2">
        <f t="shared" si="3"/>
        <v>0.59259259259259256</v>
      </c>
      <c r="AM39" s="7"/>
    </row>
    <row r="40" spans="1:41" x14ac:dyDescent="0.2">
      <c r="A40" t="s">
        <v>37</v>
      </c>
      <c r="B40" s="1">
        <v>1</v>
      </c>
      <c r="C40" s="1">
        <v>15</v>
      </c>
      <c r="D40" s="1" t="s">
        <v>63</v>
      </c>
      <c r="E40">
        <v>3</v>
      </c>
      <c r="F40" s="1">
        <v>1</v>
      </c>
      <c r="G40" s="1">
        <v>1</v>
      </c>
      <c r="I40">
        <v>1</v>
      </c>
      <c r="J40">
        <v>1</v>
      </c>
      <c r="M40">
        <v>1</v>
      </c>
      <c r="P40">
        <v>1</v>
      </c>
      <c r="Q40">
        <v>1</v>
      </c>
      <c r="R40">
        <v>1</v>
      </c>
      <c r="T40">
        <v>1</v>
      </c>
      <c r="U40">
        <v>1</v>
      </c>
      <c r="W40">
        <v>1</v>
      </c>
      <c r="Y40">
        <v>1</v>
      </c>
      <c r="Z40">
        <v>1</v>
      </c>
      <c r="AA40">
        <v>1</v>
      </c>
      <c r="AB40">
        <v>1</v>
      </c>
      <c r="AD40">
        <v>1</v>
      </c>
      <c r="AF40">
        <v>1</v>
      </c>
      <c r="AJ40">
        <v>27</v>
      </c>
      <c r="AK40">
        <f t="shared" si="2"/>
        <v>17</v>
      </c>
      <c r="AL40" s="2">
        <f t="shared" si="3"/>
        <v>0.62962962962962965</v>
      </c>
      <c r="AM40" s="7"/>
      <c r="AN40">
        <v>3</v>
      </c>
      <c r="AO40">
        <f>SUM(AK40:AK41)/SUM(AJ40:AJ41)</f>
        <v>0.44444444444444442</v>
      </c>
    </row>
    <row r="41" spans="1:41" x14ac:dyDescent="0.2">
      <c r="A41" t="s">
        <v>35</v>
      </c>
      <c r="B41" s="1">
        <v>3</v>
      </c>
      <c r="C41" s="1">
        <v>33</v>
      </c>
      <c r="D41" s="1" t="s">
        <v>63</v>
      </c>
      <c r="E41">
        <v>3</v>
      </c>
      <c r="H41">
        <v>1</v>
      </c>
      <c r="I41">
        <v>1</v>
      </c>
      <c r="J41">
        <v>1</v>
      </c>
      <c r="K41">
        <v>1</v>
      </c>
      <c r="Q41">
        <v>1</v>
      </c>
      <c r="S41">
        <v>1</v>
      </c>
      <c r="AF41">
        <v>1</v>
      </c>
      <c r="AJ41">
        <v>27</v>
      </c>
      <c r="AK41">
        <f t="shared" si="2"/>
        <v>7</v>
      </c>
      <c r="AL41" s="2">
        <f t="shared" si="3"/>
        <v>0.25925925925925924</v>
      </c>
      <c r="AM41" s="7"/>
    </row>
    <row r="42" spans="1:41" x14ac:dyDescent="0.2">
      <c r="A42" t="s">
        <v>41</v>
      </c>
      <c r="B42" s="1">
        <v>1</v>
      </c>
      <c r="C42" s="1">
        <v>18</v>
      </c>
      <c r="D42" s="1" t="s">
        <v>62</v>
      </c>
      <c r="E42">
        <v>9</v>
      </c>
      <c r="M42">
        <v>1</v>
      </c>
      <c r="AJ42">
        <v>27</v>
      </c>
      <c r="AK42">
        <f t="shared" si="2"/>
        <v>1</v>
      </c>
      <c r="AL42" s="2">
        <f t="shared" si="3"/>
        <v>3.7037037037037035E-2</v>
      </c>
      <c r="AM42" s="7"/>
      <c r="AN42">
        <v>9</v>
      </c>
      <c r="AO42">
        <v>0.04</v>
      </c>
    </row>
    <row r="43" spans="1:41" x14ac:dyDescent="0.2">
      <c r="A43" t="s">
        <v>39</v>
      </c>
      <c r="B43" s="1">
        <v>1</v>
      </c>
      <c r="C43" s="1">
        <v>43</v>
      </c>
      <c r="D43" s="1" t="s">
        <v>62</v>
      </c>
      <c r="E43">
        <v>11</v>
      </c>
      <c r="AA43">
        <v>1</v>
      </c>
      <c r="AJ43">
        <v>27</v>
      </c>
      <c r="AK43">
        <f t="shared" si="2"/>
        <v>1</v>
      </c>
      <c r="AL43" s="2">
        <f t="shared" si="3"/>
        <v>3.7037037037037035E-2</v>
      </c>
      <c r="AM43" s="7"/>
      <c r="AN43">
        <v>11</v>
      </c>
      <c r="AO43">
        <v>0.04</v>
      </c>
    </row>
    <row r="44" spans="1:41" x14ac:dyDescent="0.2">
      <c r="A44" t="s">
        <v>42</v>
      </c>
      <c r="B44" s="1">
        <v>2</v>
      </c>
      <c r="C44" s="1">
        <v>16</v>
      </c>
      <c r="D44" s="1" t="s">
        <v>63</v>
      </c>
      <c r="E44">
        <v>15</v>
      </c>
      <c r="AJ44">
        <v>27</v>
      </c>
      <c r="AK44">
        <f t="shared" si="2"/>
        <v>0</v>
      </c>
      <c r="AL44" s="2">
        <f t="shared" si="3"/>
        <v>0</v>
      </c>
      <c r="AM44" s="7"/>
      <c r="AN44">
        <v>15</v>
      </c>
      <c r="AO44">
        <v>0</v>
      </c>
    </row>
    <row r="45" spans="1:41" x14ac:dyDescent="0.2">
      <c r="A45" t="s">
        <v>34</v>
      </c>
      <c r="B45" s="1">
        <v>1</v>
      </c>
      <c r="C45" s="1">
        <v>37</v>
      </c>
      <c r="D45" s="1" t="s">
        <v>63</v>
      </c>
      <c r="E45">
        <v>15</v>
      </c>
      <c r="AJ45">
        <v>27</v>
      </c>
      <c r="AK45">
        <f t="shared" si="2"/>
        <v>0</v>
      </c>
      <c r="AL45" s="2">
        <f t="shared" si="3"/>
        <v>0</v>
      </c>
      <c r="AM45" s="7"/>
    </row>
    <row r="46" spans="1:41" x14ac:dyDescent="0.2">
      <c r="A46" t="s">
        <v>38</v>
      </c>
      <c r="B46" s="1">
        <v>3</v>
      </c>
      <c r="C46" s="1">
        <v>50</v>
      </c>
      <c r="D46" s="1" t="s">
        <v>62</v>
      </c>
      <c r="E46">
        <v>17</v>
      </c>
      <c r="AJ46">
        <v>27</v>
      </c>
      <c r="AK46">
        <f t="shared" si="2"/>
        <v>0</v>
      </c>
      <c r="AL46" s="2">
        <f t="shared" si="3"/>
        <v>0</v>
      </c>
      <c r="AM46" s="7"/>
      <c r="AN46">
        <v>17</v>
      </c>
      <c r="AO46">
        <v>0</v>
      </c>
    </row>
    <row r="47" spans="1:41" x14ac:dyDescent="0.2">
      <c r="A47" t="s">
        <v>43</v>
      </c>
      <c r="B47" s="1">
        <v>1</v>
      </c>
      <c r="C47" s="1">
        <v>29</v>
      </c>
      <c r="D47" s="1" t="s">
        <v>63</v>
      </c>
      <c r="E47">
        <v>18</v>
      </c>
      <c r="AJ47">
        <v>27</v>
      </c>
      <c r="AK47">
        <f t="shared" si="2"/>
        <v>0</v>
      </c>
      <c r="AL47" s="2">
        <f t="shared" si="3"/>
        <v>0</v>
      </c>
      <c r="AM47" s="7"/>
      <c r="AN47">
        <v>18</v>
      </c>
      <c r="AO47">
        <v>0</v>
      </c>
    </row>
    <row r="48" spans="1:41" x14ac:dyDescent="0.2">
      <c r="A48" t="s">
        <v>32</v>
      </c>
      <c r="B48" s="1">
        <v>1</v>
      </c>
      <c r="C48" s="1">
        <v>45</v>
      </c>
      <c r="D48" s="1" t="s">
        <v>62</v>
      </c>
      <c r="E48">
        <v>19</v>
      </c>
      <c r="AJ48">
        <v>27</v>
      </c>
      <c r="AK48">
        <f t="shared" si="2"/>
        <v>0</v>
      </c>
      <c r="AL48" s="2">
        <f t="shared" si="3"/>
        <v>0</v>
      </c>
      <c r="AM48" s="7"/>
      <c r="AN48">
        <v>19</v>
      </c>
      <c r="AO48">
        <v>0</v>
      </c>
    </row>
    <row r="49" spans="1:41" s="3" customFormat="1" x14ac:dyDescent="0.2">
      <c r="A49" s="3" t="s">
        <v>36</v>
      </c>
      <c r="B49" s="4">
        <v>2</v>
      </c>
      <c r="C49" s="4">
        <v>21</v>
      </c>
      <c r="D49" s="4" t="s">
        <v>63</v>
      </c>
      <c r="E49" s="3">
        <v>20</v>
      </c>
      <c r="AJ49" s="3">
        <v>27</v>
      </c>
      <c r="AK49" s="3">
        <f t="shared" si="2"/>
        <v>0</v>
      </c>
      <c r="AL49" s="5">
        <f t="shared" si="3"/>
        <v>0</v>
      </c>
      <c r="AM49" s="8"/>
      <c r="AN49" s="3">
        <v>20</v>
      </c>
      <c r="AO49" s="3">
        <v>0</v>
      </c>
    </row>
    <row r="50" spans="1:41" x14ac:dyDescent="0.2">
      <c r="A50" t="s">
        <v>53</v>
      </c>
      <c r="B50" s="1">
        <v>2</v>
      </c>
      <c r="C50" s="1">
        <v>33</v>
      </c>
      <c r="D50" s="1" t="s">
        <v>62</v>
      </c>
      <c r="E50">
        <v>1</v>
      </c>
      <c r="AD50">
        <v>1</v>
      </c>
      <c r="AJ50">
        <v>27</v>
      </c>
      <c r="AK50">
        <f t="shared" si="2"/>
        <v>1</v>
      </c>
      <c r="AL50" s="2">
        <f t="shared" si="3"/>
        <v>3.7037037037037035E-2</v>
      </c>
      <c r="AM50" s="7"/>
      <c r="AN50">
        <v>1</v>
      </c>
      <c r="AO50">
        <v>0.04</v>
      </c>
    </row>
    <row r="51" spans="1:41" x14ac:dyDescent="0.2">
      <c r="A51" t="s">
        <v>56</v>
      </c>
      <c r="B51" s="1">
        <v>1</v>
      </c>
      <c r="C51" s="1">
        <v>14</v>
      </c>
      <c r="D51" s="1" t="s">
        <v>62</v>
      </c>
      <c r="E51">
        <v>11</v>
      </c>
      <c r="AJ51">
        <v>27</v>
      </c>
      <c r="AK51">
        <f t="shared" si="2"/>
        <v>0</v>
      </c>
      <c r="AL51" s="2">
        <f t="shared" si="3"/>
        <v>0</v>
      </c>
      <c r="AM51" s="7"/>
      <c r="AN51">
        <v>11</v>
      </c>
      <c r="AO51">
        <v>0</v>
      </c>
    </row>
    <row r="52" spans="1:41" x14ac:dyDescent="0.2">
      <c r="A52" t="s">
        <v>54</v>
      </c>
      <c r="B52" s="1">
        <v>2</v>
      </c>
      <c r="C52" s="1">
        <v>37</v>
      </c>
      <c r="D52" s="1" t="s">
        <v>63</v>
      </c>
      <c r="E52">
        <v>11</v>
      </c>
      <c r="AJ52">
        <v>27</v>
      </c>
      <c r="AK52">
        <f t="shared" si="2"/>
        <v>0</v>
      </c>
      <c r="AL52" s="2">
        <f t="shared" si="3"/>
        <v>0</v>
      </c>
      <c r="AM52" s="7"/>
    </row>
    <row r="53" spans="1:41" x14ac:dyDescent="0.2">
      <c r="A53" t="s">
        <v>52</v>
      </c>
      <c r="B53" s="1">
        <v>2</v>
      </c>
      <c r="C53" s="1">
        <v>7</v>
      </c>
      <c r="D53" s="1" t="s">
        <v>63</v>
      </c>
      <c r="E53">
        <v>13</v>
      </c>
      <c r="AJ53">
        <v>27</v>
      </c>
      <c r="AK53">
        <f t="shared" si="2"/>
        <v>0</v>
      </c>
      <c r="AL53" s="2">
        <f t="shared" si="3"/>
        <v>0</v>
      </c>
      <c r="AM53" s="7"/>
      <c r="AN53">
        <v>13</v>
      </c>
      <c r="AO53">
        <v>0</v>
      </c>
    </row>
    <row r="54" spans="1:41" x14ac:dyDescent="0.2">
      <c r="A54" t="s">
        <v>48</v>
      </c>
      <c r="B54" s="1">
        <v>1</v>
      </c>
      <c r="C54" s="1">
        <v>23</v>
      </c>
      <c r="D54" s="1" t="s">
        <v>62</v>
      </c>
      <c r="E54">
        <v>13</v>
      </c>
      <c r="AJ54">
        <v>27</v>
      </c>
      <c r="AK54">
        <f t="shared" si="2"/>
        <v>0</v>
      </c>
      <c r="AL54" s="2">
        <f t="shared" si="3"/>
        <v>0</v>
      </c>
      <c r="AM54" s="7"/>
    </row>
    <row r="55" spans="1:41" x14ac:dyDescent="0.2">
      <c r="A55" t="s">
        <v>50</v>
      </c>
      <c r="B55" s="1">
        <v>1</v>
      </c>
      <c r="C55" s="1">
        <v>19</v>
      </c>
      <c r="D55" s="1" t="s">
        <v>63</v>
      </c>
      <c r="E55">
        <v>15</v>
      </c>
      <c r="I55">
        <v>1</v>
      </c>
      <c r="P55">
        <v>1</v>
      </c>
      <c r="Z55">
        <v>1</v>
      </c>
      <c r="AJ55">
        <v>27</v>
      </c>
      <c r="AK55">
        <f t="shared" si="2"/>
        <v>3</v>
      </c>
      <c r="AL55" s="2">
        <f t="shared" si="3"/>
        <v>0.1111111111111111</v>
      </c>
      <c r="AM55" s="7"/>
      <c r="AN55">
        <v>15</v>
      </c>
      <c r="AO55">
        <v>0.11</v>
      </c>
    </row>
    <row r="56" spans="1:41" x14ac:dyDescent="0.2">
      <c r="A56" t="s">
        <v>55</v>
      </c>
      <c r="B56" s="1">
        <v>1</v>
      </c>
      <c r="C56" s="1">
        <v>40</v>
      </c>
      <c r="D56" s="1" t="s">
        <v>63</v>
      </c>
      <c r="E56">
        <v>18</v>
      </c>
      <c r="AJ56">
        <v>27</v>
      </c>
      <c r="AK56">
        <f t="shared" si="2"/>
        <v>0</v>
      </c>
      <c r="AL56" s="2">
        <f t="shared" si="3"/>
        <v>0</v>
      </c>
      <c r="AM56" s="7">
        <f>SUM(AK56:AK65)/SUM(AJ56:AJ65)</f>
        <v>7.765830346475508E-2</v>
      </c>
      <c r="AN56">
        <v>18</v>
      </c>
      <c r="AO56">
        <v>0</v>
      </c>
    </row>
    <row r="57" spans="1:41" x14ac:dyDescent="0.2">
      <c r="A57" t="s">
        <v>57</v>
      </c>
      <c r="B57" s="1">
        <v>2</v>
      </c>
      <c r="C57" s="1">
        <v>50</v>
      </c>
      <c r="D57" s="1" t="s">
        <v>62</v>
      </c>
      <c r="E57">
        <v>18</v>
      </c>
      <c r="AJ57">
        <v>27</v>
      </c>
      <c r="AK57">
        <f t="shared" si="2"/>
        <v>0</v>
      </c>
      <c r="AL57" s="2">
        <f t="shared" si="3"/>
        <v>0</v>
      </c>
      <c r="AM57" s="7"/>
    </row>
    <row r="58" spans="1:41" x14ac:dyDescent="0.2">
      <c r="A58" t="s">
        <v>49</v>
      </c>
      <c r="B58" s="1">
        <v>3</v>
      </c>
      <c r="C58" s="1">
        <v>42</v>
      </c>
      <c r="D58" s="1" t="s">
        <v>62</v>
      </c>
      <c r="E58">
        <v>19</v>
      </c>
      <c r="AJ58">
        <v>27</v>
      </c>
      <c r="AK58">
        <f t="shared" si="2"/>
        <v>0</v>
      </c>
      <c r="AL58" s="2">
        <f t="shared" si="3"/>
        <v>0</v>
      </c>
      <c r="AM58" s="7"/>
      <c r="AN58">
        <v>19</v>
      </c>
      <c r="AO58">
        <v>0</v>
      </c>
    </row>
    <row r="59" spans="1:41" s="3" customFormat="1" x14ac:dyDescent="0.2">
      <c r="A59" s="3" t="s">
        <v>51</v>
      </c>
      <c r="B59" s="4">
        <v>2</v>
      </c>
      <c r="C59" s="4">
        <v>22</v>
      </c>
      <c r="D59" s="4" t="s">
        <v>63</v>
      </c>
      <c r="E59" s="3">
        <v>20</v>
      </c>
      <c r="AJ59" s="3">
        <v>27</v>
      </c>
      <c r="AK59" s="3">
        <f t="shared" si="2"/>
        <v>0</v>
      </c>
      <c r="AL59" s="5">
        <f t="shared" si="3"/>
        <v>0</v>
      </c>
      <c r="AM59" s="8"/>
      <c r="AN59" s="3">
        <v>20</v>
      </c>
      <c r="AO59" s="3">
        <v>0</v>
      </c>
    </row>
    <row r="60" spans="1:41" x14ac:dyDescent="0.2">
      <c r="E60" t="s">
        <v>99</v>
      </c>
      <c r="F60">
        <f>SUM(F2:F59)</f>
        <v>2</v>
      </c>
      <c r="G60">
        <f t="shared" ref="G60:AF60" si="4">SUM(G2:G59)</f>
        <v>5</v>
      </c>
      <c r="H60">
        <f t="shared" si="4"/>
        <v>5</v>
      </c>
      <c r="I60">
        <f t="shared" si="4"/>
        <v>6</v>
      </c>
      <c r="J60">
        <f t="shared" si="4"/>
        <v>5</v>
      </c>
      <c r="K60">
        <f t="shared" si="4"/>
        <v>5</v>
      </c>
      <c r="L60">
        <f t="shared" si="4"/>
        <v>2</v>
      </c>
      <c r="M60">
        <f t="shared" si="4"/>
        <v>8</v>
      </c>
      <c r="N60">
        <f t="shared" si="4"/>
        <v>0</v>
      </c>
      <c r="O60">
        <f t="shared" si="4"/>
        <v>3</v>
      </c>
      <c r="P60">
        <f t="shared" si="4"/>
        <v>5</v>
      </c>
      <c r="Q60">
        <f t="shared" si="4"/>
        <v>6</v>
      </c>
      <c r="R60">
        <f t="shared" si="4"/>
        <v>2</v>
      </c>
      <c r="S60">
        <f t="shared" si="4"/>
        <v>5</v>
      </c>
      <c r="T60">
        <f t="shared" si="4"/>
        <v>9</v>
      </c>
      <c r="U60">
        <f t="shared" si="4"/>
        <v>4</v>
      </c>
      <c r="V60">
        <f t="shared" si="4"/>
        <v>4</v>
      </c>
      <c r="W60">
        <f t="shared" si="4"/>
        <v>4</v>
      </c>
      <c r="X60">
        <f t="shared" si="4"/>
        <v>0</v>
      </c>
      <c r="Y60">
        <f t="shared" si="4"/>
        <v>4</v>
      </c>
      <c r="Z60">
        <f t="shared" si="4"/>
        <v>6</v>
      </c>
      <c r="AA60">
        <f t="shared" si="4"/>
        <v>5</v>
      </c>
      <c r="AB60">
        <f t="shared" si="4"/>
        <v>4</v>
      </c>
      <c r="AC60">
        <f t="shared" si="4"/>
        <v>5</v>
      </c>
      <c r="AD60">
        <f t="shared" si="4"/>
        <v>8</v>
      </c>
      <c r="AE60">
        <f t="shared" si="4"/>
        <v>6</v>
      </c>
      <c r="AF60">
        <f t="shared" si="4"/>
        <v>5</v>
      </c>
      <c r="AG60">
        <f t="shared" ref="AG60" si="5">SUM(AG2:AG59)</f>
        <v>4</v>
      </c>
      <c r="AH60">
        <f t="shared" ref="AH60" si="6">SUM(AH2:AH59)</f>
        <v>0</v>
      </c>
      <c r="AI60">
        <f t="shared" ref="AI60:AJ60" si="7">SUM(AI2:AI59)</f>
        <v>3</v>
      </c>
      <c r="AJ60">
        <f t="shared" si="7"/>
        <v>1566</v>
      </c>
      <c r="AK60">
        <f t="shared" ref="AK60" si="8">SUM(F60:AI60)</f>
        <v>130</v>
      </c>
      <c r="AL60" s="2">
        <f t="shared" ref="AL60" si="9">AK60/AJ60</f>
        <v>8.3014048531289908E-2</v>
      </c>
    </row>
    <row r="61" spans="1:41" x14ac:dyDescent="0.2">
      <c r="A61" t="s">
        <v>76</v>
      </c>
      <c r="C61">
        <f>AVERAGE(F61:AI61)</f>
        <v>13.625</v>
      </c>
      <c r="I61">
        <v>12</v>
      </c>
      <c r="K61">
        <v>14</v>
      </c>
      <c r="L61">
        <v>13</v>
      </c>
      <c r="Q61">
        <v>14</v>
      </c>
      <c r="T61">
        <v>16</v>
      </c>
      <c r="W61">
        <v>14</v>
      </c>
      <c r="AA61">
        <v>13</v>
      </c>
      <c r="AC61">
        <v>13</v>
      </c>
    </row>
    <row r="64" spans="1:41" x14ac:dyDescent="0.2">
      <c r="E64" t="s">
        <v>88</v>
      </c>
      <c r="F64">
        <v>1</v>
      </c>
      <c r="G64">
        <v>2</v>
      </c>
      <c r="H64">
        <v>5</v>
      </c>
      <c r="I64">
        <v>4</v>
      </c>
      <c r="J64">
        <v>2</v>
      </c>
      <c r="K64">
        <v>6</v>
      </c>
      <c r="L64">
        <v>0</v>
      </c>
      <c r="M64">
        <v>1</v>
      </c>
      <c r="O64">
        <v>2</v>
      </c>
      <c r="P64">
        <v>5</v>
      </c>
      <c r="Q64">
        <v>2</v>
      </c>
      <c r="R64">
        <v>9</v>
      </c>
      <c r="S64">
        <v>8</v>
      </c>
      <c r="T64">
        <v>0</v>
      </c>
      <c r="U64">
        <v>0</v>
      </c>
      <c r="V64">
        <v>3</v>
      </c>
      <c r="W64">
        <v>6</v>
      </c>
      <c r="Y64">
        <v>2</v>
      </c>
      <c r="Z64">
        <v>4</v>
      </c>
      <c r="AA64">
        <v>7</v>
      </c>
      <c r="AB64">
        <v>2</v>
      </c>
      <c r="AC64">
        <v>5</v>
      </c>
      <c r="AD64">
        <v>4</v>
      </c>
      <c r="AE64">
        <v>2</v>
      </c>
      <c r="AF64">
        <v>2</v>
      </c>
      <c r="AG64">
        <v>3</v>
      </c>
      <c r="AI64">
        <v>1</v>
      </c>
    </row>
    <row r="67" spans="35:35" x14ac:dyDescent="0.2">
      <c r="AI67" t="s">
        <v>102</v>
      </c>
    </row>
  </sheetData>
  <sortState xmlns:xlrd2="http://schemas.microsoft.com/office/spreadsheetml/2017/richdata2" ref="A50:AM59">
    <sortCondition ref="E50:E5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sqref="A1:E7"/>
    </sheetView>
  </sheetViews>
  <sheetFormatPr baseColWidth="10" defaultRowHeight="16" x14ac:dyDescent="0.2"/>
  <cols>
    <col min="1" max="1" width="13" customWidth="1"/>
  </cols>
  <sheetData>
    <row r="1" spans="1:6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</row>
    <row r="2" spans="1:6" x14ac:dyDescent="0.2">
      <c r="A2" t="s">
        <v>108</v>
      </c>
      <c r="B2">
        <v>0.504</v>
      </c>
      <c r="C2">
        <v>0.113</v>
      </c>
      <c r="D2">
        <v>1.3</v>
      </c>
      <c r="E2" s="9">
        <v>41489</v>
      </c>
    </row>
    <row r="3" spans="1:6" x14ac:dyDescent="0.2">
      <c r="A3" t="s">
        <v>110</v>
      </c>
      <c r="B3">
        <v>1</v>
      </c>
      <c r="C3">
        <v>0.24199999999999999</v>
      </c>
      <c r="D3">
        <v>1.8</v>
      </c>
      <c r="E3" s="9">
        <v>41489</v>
      </c>
    </row>
    <row r="4" spans="1:6" x14ac:dyDescent="0.2">
      <c r="A4" t="s">
        <v>111</v>
      </c>
      <c r="B4">
        <v>0.56999999999999995</v>
      </c>
      <c r="C4">
        <v>2.7E-2</v>
      </c>
      <c r="D4">
        <v>3.1</v>
      </c>
      <c r="E4" s="9">
        <v>41489</v>
      </c>
    </row>
    <row r="5" spans="1:6" x14ac:dyDescent="0.2">
      <c r="A5" t="s">
        <v>113</v>
      </c>
      <c r="F5" t="s">
        <v>114</v>
      </c>
    </row>
    <row r="6" spans="1:6" x14ac:dyDescent="0.2">
      <c r="A6" t="s">
        <v>115</v>
      </c>
      <c r="F6" t="s">
        <v>114</v>
      </c>
    </row>
    <row r="7" spans="1:6" x14ac:dyDescent="0.2">
      <c r="A7" t="s">
        <v>116</v>
      </c>
      <c r="F7" t="s">
        <v>117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4"/>
  <sheetViews>
    <sheetView topLeftCell="A43" workbookViewId="0">
      <pane xSplit="5" topLeftCell="F1" activePane="topRight" state="frozen"/>
      <selection pane="topRight" activeCell="C62" sqref="C62"/>
    </sheetView>
  </sheetViews>
  <sheetFormatPr baseColWidth="10" defaultRowHeight="16" x14ac:dyDescent="0.2"/>
  <cols>
    <col min="1" max="1" width="8.6640625" customWidth="1"/>
    <col min="2" max="2" width="8.1640625" customWidth="1"/>
    <col min="3" max="3" width="8.5" customWidth="1"/>
    <col min="4" max="4" width="6" customWidth="1"/>
    <col min="5" max="5" width="6.1640625" customWidth="1"/>
    <col min="6" max="23" width="7.1640625" customWidth="1"/>
    <col min="24" max="24" width="8.1640625" customWidth="1"/>
    <col min="25" max="25" width="7.83203125" customWidth="1"/>
    <col min="28" max="28" width="7.5" customWidth="1"/>
    <col min="29" max="29" width="8.83203125" customWidth="1"/>
    <col min="30" max="30" width="5.6640625" customWidth="1"/>
    <col min="31" max="31" width="9.5" customWidth="1"/>
    <col min="32" max="32" width="9.33203125" customWidth="1"/>
  </cols>
  <sheetData>
    <row r="1" spans="1:33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134</v>
      </c>
      <c r="F1" t="s">
        <v>66</v>
      </c>
      <c r="G1" t="s">
        <v>68</v>
      </c>
      <c r="H1" t="s">
        <v>70</v>
      </c>
      <c r="I1" t="s">
        <v>71</v>
      </c>
      <c r="J1" t="s">
        <v>72</v>
      </c>
      <c r="K1" t="s">
        <v>73</v>
      </c>
      <c r="L1" t="s">
        <v>75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85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100</v>
      </c>
      <c r="Y1" t="s">
        <v>101</v>
      </c>
      <c r="Z1" t="s">
        <v>86</v>
      </c>
      <c r="AA1" s="6" t="s">
        <v>87</v>
      </c>
      <c r="AB1" t="s">
        <v>103</v>
      </c>
      <c r="AC1" t="s">
        <v>188</v>
      </c>
      <c r="AE1" t="s">
        <v>190</v>
      </c>
      <c r="AF1" t="s">
        <v>191</v>
      </c>
      <c r="AG1" t="s">
        <v>188</v>
      </c>
    </row>
    <row r="2" spans="1:33" x14ac:dyDescent="0.2">
      <c r="A2" t="s">
        <v>30</v>
      </c>
      <c r="B2" s="1">
        <v>1</v>
      </c>
      <c r="C2" s="1">
        <v>46</v>
      </c>
      <c r="D2" s="1" t="s">
        <v>63</v>
      </c>
      <c r="E2">
        <v>1</v>
      </c>
      <c r="I2">
        <v>1</v>
      </c>
      <c r="L2">
        <v>1</v>
      </c>
      <c r="M2">
        <v>1</v>
      </c>
      <c r="O2">
        <v>1</v>
      </c>
      <c r="Q2">
        <v>1</v>
      </c>
      <c r="R2">
        <v>1</v>
      </c>
      <c r="W2">
        <v>1</v>
      </c>
      <c r="X2">
        <v>18</v>
      </c>
      <c r="Y2">
        <f t="shared" ref="Y2:Y33" si="0">SUM(F2:W2)</f>
        <v>7</v>
      </c>
      <c r="Z2">
        <f t="shared" ref="Z2:Z33" si="1">Y2/X2</f>
        <v>0.3888888888888889</v>
      </c>
      <c r="AB2">
        <v>1</v>
      </c>
      <c r="AC2">
        <f>Z2</f>
        <v>0.3888888888888889</v>
      </c>
      <c r="AE2">
        <f>18+27</f>
        <v>45</v>
      </c>
      <c r="AF2">
        <f>13+7</f>
        <v>20</v>
      </c>
      <c r="AG2">
        <f>AF2/AE2</f>
        <v>0.44444444444444442</v>
      </c>
    </row>
    <row r="3" spans="1:33" x14ac:dyDescent="0.2">
      <c r="A3" t="s">
        <v>27</v>
      </c>
      <c r="B3" s="1">
        <v>2</v>
      </c>
      <c r="C3" s="1">
        <v>12</v>
      </c>
      <c r="D3" s="1" t="s">
        <v>63</v>
      </c>
      <c r="E3">
        <v>2</v>
      </c>
      <c r="O3">
        <v>1</v>
      </c>
      <c r="W3">
        <v>1</v>
      </c>
      <c r="X3">
        <v>18</v>
      </c>
      <c r="Y3">
        <f t="shared" si="0"/>
        <v>2</v>
      </c>
      <c r="Z3">
        <f t="shared" si="1"/>
        <v>0.1111111111111111</v>
      </c>
      <c r="AB3">
        <v>2</v>
      </c>
      <c r="AC3">
        <f>Z3</f>
        <v>0.1111111111111111</v>
      </c>
      <c r="AE3">
        <f t="shared" ref="AE3:AE59" si="2">18+27</f>
        <v>45</v>
      </c>
      <c r="AF3">
        <f>7+2</f>
        <v>9</v>
      </c>
      <c r="AG3">
        <f t="shared" ref="AG3:AG59" si="3">AF3/AE3</f>
        <v>0.2</v>
      </c>
    </row>
    <row r="4" spans="1:33" x14ac:dyDescent="0.2">
      <c r="A4" t="s">
        <v>25</v>
      </c>
      <c r="B4" s="1">
        <v>1</v>
      </c>
      <c r="C4" s="1">
        <v>22</v>
      </c>
      <c r="D4" s="1" t="s">
        <v>63</v>
      </c>
      <c r="E4">
        <v>3</v>
      </c>
      <c r="J4">
        <v>1</v>
      </c>
      <c r="X4">
        <v>18</v>
      </c>
      <c r="Y4">
        <f t="shared" si="0"/>
        <v>1</v>
      </c>
      <c r="Z4">
        <f t="shared" si="1"/>
        <v>5.5555555555555552E-2</v>
      </c>
      <c r="AE4">
        <f t="shared" si="2"/>
        <v>45</v>
      </c>
      <c r="AG4">
        <f t="shared" si="3"/>
        <v>0</v>
      </c>
    </row>
    <row r="5" spans="1:33" x14ac:dyDescent="0.2">
      <c r="A5" t="s">
        <v>21</v>
      </c>
      <c r="B5" s="1">
        <v>3</v>
      </c>
      <c r="C5" s="1">
        <v>7</v>
      </c>
      <c r="D5" s="1" t="s">
        <v>62</v>
      </c>
      <c r="E5">
        <v>3</v>
      </c>
      <c r="X5">
        <v>18</v>
      </c>
      <c r="Y5">
        <f t="shared" si="0"/>
        <v>0</v>
      </c>
      <c r="Z5">
        <f t="shared" si="1"/>
        <v>0</v>
      </c>
      <c r="AE5">
        <f t="shared" si="2"/>
        <v>45</v>
      </c>
      <c r="AG5">
        <f t="shared" si="3"/>
        <v>0</v>
      </c>
    </row>
    <row r="6" spans="1:33" x14ac:dyDescent="0.2">
      <c r="A6" t="s">
        <v>22</v>
      </c>
      <c r="B6" s="1">
        <v>3</v>
      </c>
      <c r="C6" s="1">
        <v>18</v>
      </c>
      <c r="D6" s="1" t="s">
        <v>62</v>
      </c>
      <c r="E6">
        <v>3</v>
      </c>
      <c r="M6">
        <v>1</v>
      </c>
      <c r="X6">
        <v>18</v>
      </c>
      <c r="Y6">
        <f t="shared" si="0"/>
        <v>1</v>
      </c>
      <c r="Z6">
        <f t="shared" si="1"/>
        <v>5.5555555555555552E-2</v>
      </c>
      <c r="AE6">
        <f t="shared" si="2"/>
        <v>45</v>
      </c>
      <c r="AG6">
        <f t="shared" si="3"/>
        <v>0</v>
      </c>
    </row>
    <row r="7" spans="1:33" x14ac:dyDescent="0.2">
      <c r="A7" t="s">
        <v>20</v>
      </c>
      <c r="B7" s="1">
        <v>3</v>
      </c>
      <c r="C7" s="1">
        <v>4</v>
      </c>
      <c r="D7" s="1" t="s">
        <v>62</v>
      </c>
      <c r="E7">
        <v>3</v>
      </c>
      <c r="J7">
        <v>1</v>
      </c>
      <c r="X7">
        <v>18</v>
      </c>
      <c r="Y7">
        <f t="shared" si="0"/>
        <v>1</v>
      </c>
      <c r="Z7">
        <f t="shared" si="1"/>
        <v>5.5555555555555552E-2</v>
      </c>
      <c r="AA7">
        <f>(SUM(Y1:Y7))/(SUM(X1:X7))</f>
        <v>0.1111111111111111</v>
      </c>
      <c r="AB7">
        <v>3</v>
      </c>
      <c r="AC7">
        <f>SUM(Y4:Y7)/SUM(X4:X7)</f>
        <v>4.1666666666666664E-2</v>
      </c>
      <c r="AE7">
        <f t="shared" si="2"/>
        <v>45</v>
      </c>
      <c r="AF7">
        <f>23+3</f>
        <v>26</v>
      </c>
      <c r="AG7">
        <f t="shared" si="3"/>
        <v>0.57777777777777772</v>
      </c>
    </row>
    <row r="8" spans="1:33" x14ac:dyDescent="0.2">
      <c r="A8" t="s">
        <v>29</v>
      </c>
      <c r="B8" s="1">
        <v>3</v>
      </c>
      <c r="C8" s="1">
        <v>30</v>
      </c>
      <c r="D8" s="1" t="s">
        <v>63</v>
      </c>
      <c r="E8">
        <v>6</v>
      </c>
      <c r="X8">
        <v>18</v>
      </c>
      <c r="Y8">
        <f t="shared" si="0"/>
        <v>0</v>
      </c>
      <c r="Z8">
        <f t="shared" si="1"/>
        <v>0</v>
      </c>
      <c r="AB8">
        <v>6</v>
      </c>
      <c r="AC8">
        <v>0</v>
      </c>
      <c r="AE8">
        <f t="shared" si="2"/>
        <v>45</v>
      </c>
      <c r="AF8">
        <v>1</v>
      </c>
      <c r="AG8">
        <f t="shared" si="3"/>
        <v>2.2222222222222223E-2</v>
      </c>
    </row>
    <row r="9" spans="1:33" x14ac:dyDescent="0.2">
      <c r="A9" t="s">
        <v>31</v>
      </c>
      <c r="B9" s="1">
        <v>2</v>
      </c>
      <c r="C9" s="1">
        <v>46</v>
      </c>
      <c r="D9" s="1" t="s">
        <v>62</v>
      </c>
      <c r="E9">
        <v>7</v>
      </c>
      <c r="X9">
        <v>18</v>
      </c>
      <c r="Y9">
        <f t="shared" si="0"/>
        <v>0</v>
      </c>
      <c r="Z9">
        <f t="shared" si="1"/>
        <v>0</v>
      </c>
      <c r="AB9">
        <v>7</v>
      </c>
      <c r="AC9">
        <v>0</v>
      </c>
      <c r="AE9">
        <f t="shared" si="2"/>
        <v>45</v>
      </c>
      <c r="AF9">
        <v>1</v>
      </c>
      <c r="AG9">
        <f t="shared" si="3"/>
        <v>2.2222222222222223E-2</v>
      </c>
    </row>
    <row r="10" spans="1:33" x14ac:dyDescent="0.2">
      <c r="A10" t="s">
        <v>28</v>
      </c>
      <c r="B10" s="1">
        <v>3</v>
      </c>
      <c r="C10" s="1">
        <v>19</v>
      </c>
      <c r="D10" s="1" t="s">
        <v>62</v>
      </c>
      <c r="E10">
        <v>11</v>
      </c>
      <c r="X10">
        <v>18</v>
      </c>
      <c r="Y10">
        <f t="shared" si="0"/>
        <v>0</v>
      </c>
      <c r="Z10">
        <f t="shared" si="1"/>
        <v>0</v>
      </c>
      <c r="AE10">
        <f t="shared" si="2"/>
        <v>45</v>
      </c>
      <c r="AG10">
        <f t="shared" si="3"/>
        <v>0</v>
      </c>
    </row>
    <row r="11" spans="1:33" x14ac:dyDescent="0.2">
      <c r="A11" t="s">
        <v>23</v>
      </c>
      <c r="B11" s="1">
        <v>3</v>
      </c>
      <c r="C11" s="1">
        <v>16</v>
      </c>
      <c r="D11" s="1" t="s">
        <v>62</v>
      </c>
      <c r="E11">
        <v>11</v>
      </c>
      <c r="X11">
        <v>18</v>
      </c>
      <c r="Y11">
        <f t="shared" si="0"/>
        <v>0</v>
      </c>
      <c r="Z11">
        <f t="shared" si="1"/>
        <v>0</v>
      </c>
      <c r="AB11">
        <v>11</v>
      </c>
      <c r="AC11">
        <v>0</v>
      </c>
      <c r="AE11">
        <f t="shared" si="2"/>
        <v>45</v>
      </c>
      <c r="AG11">
        <f t="shared" si="3"/>
        <v>0</v>
      </c>
    </row>
    <row r="12" spans="1:33" x14ac:dyDescent="0.2">
      <c r="A12" t="s">
        <v>18</v>
      </c>
      <c r="B12" s="1">
        <v>3</v>
      </c>
      <c r="C12" s="1">
        <v>1</v>
      </c>
      <c r="D12" s="1" t="s">
        <v>62</v>
      </c>
      <c r="E12">
        <v>14</v>
      </c>
      <c r="X12">
        <v>18</v>
      </c>
      <c r="Y12">
        <f t="shared" si="0"/>
        <v>0</v>
      </c>
      <c r="Z12">
        <f t="shared" si="1"/>
        <v>0</v>
      </c>
      <c r="AB12">
        <v>14</v>
      </c>
      <c r="AC12">
        <v>0</v>
      </c>
      <c r="AE12">
        <f t="shared" si="2"/>
        <v>45</v>
      </c>
      <c r="AG12">
        <f t="shared" si="3"/>
        <v>0</v>
      </c>
    </row>
    <row r="13" spans="1:33" x14ac:dyDescent="0.2">
      <c r="A13" t="s">
        <v>24</v>
      </c>
      <c r="B13" s="1">
        <v>1</v>
      </c>
      <c r="C13" s="1">
        <v>30</v>
      </c>
      <c r="D13" s="1" t="s">
        <v>63</v>
      </c>
      <c r="E13">
        <v>16</v>
      </c>
      <c r="X13">
        <v>18</v>
      </c>
      <c r="Y13">
        <f t="shared" si="0"/>
        <v>0</v>
      </c>
      <c r="Z13">
        <f t="shared" si="1"/>
        <v>0</v>
      </c>
      <c r="AB13">
        <v>16</v>
      </c>
      <c r="AC13">
        <v>0</v>
      </c>
      <c r="AE13">
        <f t="shared" si="2"/>
        <v>45</v>
      </c>
      <c r="AG13">
        <f t="shared" si="3"/>
        <v>0</v>
      </c>
    </row>
    <row r="14" spans="1:33" x14ac:dyDescent="0.2">
      <c r="A14" t="s">
        <v>19</v>
      </c>
      <c r="B14" s="1">
        <v>2</v>
      </c>
      <c r="C14" s="1">
        <v>36</v>
      </c>
      <c r="D14" s="1" t="s">
        <v>62</v>
      </c>
      <c r="E14">
        <v>18</v>
      </c>
      <c r="X14">
        <v>18</v>
      </c>
      <c r="Y14">
        <f t="shared" si="0"/>
        <v>0</v>
      </c>
      <c r="Z14">
        <f t="shared" si="1"/>
        <v>0</v>
      </c>
      <c r="AB14">
        <v>18</v>
      </c>
      <c r="AC14">
        <v>0</v>
      </c>
      <c r="AE14">
        <f t="shared" si="2"/>
        <v>45</v>
      </c>
      <c r="AG14">
        <f t="shared" si="3"/>
        <v>0</v>
      </c>
    </row>
    <row r="15" spans="1:33" x14ac:dyDescent="0.2">
      <c r="A15" s="3" t="s">
        <v>26</v>
      </c>
      <c r="B15" s="4">
        <v>2</v>
      </c>
      <c r="C15" s="4">
        <v>39</v>
      </c>
      <c r="D15" s="4" t="s">
        <v>62</v>
      </c>
      <c r="E15" s="3">
        <v>20</v>
      </c>
      <c r="X15">
        <v>18</v>
      </c>
      <c r="Y15">
        <f t="shared" si="0"/>
        <v>0</v>
      </c>
      <c r="Z15">
        <f t="shared" si="1"/>
        <v>0</v>
      </c>
      <c r="AB15" s="3">
        <v>20</v>
      </c>
      <c r="AC15" s="3">
        <v>0</v>
      </c>
      <c r="AE15">
        <f t="shared" si="2"/>
        <v>45</v>
      </c>
      <c r="AG15">
        <f t="shared" si="3"/>
        <v>0</v>
      </c>
    </row>
    <row r="16" spans="1:33" x14ac:dyDescent="0.2">
      <c r="A16" t="s">
        <v>45</v>
      </c>
      <c r="B16" s="1">
        <v>2</v>
      </c>
      <c r="C16" s="1">
        <v>2</v>
      </c>
      <c r="D16" s="1" t="s">
        <v>63</v>
      </c>
      <c r="E16">
        <v>10</v>
      </c>
      <c r="X16">
        <v>18</v>
      </c>
      <c r="Y16">
        <f t="shared" si="0"/>
        <v>0</v>
      </c>
      <c r="Z16">
        <f t="shared" si="1"/>
        <v>0</v>
      </c>
      <c r="AE16">
        <f t="shared" si="2"/>
        <v>45</v>
      </c>
      <c r="AG16">
        <f t="shared" si="3"/>
        <v>0</v>
      </c>
    </row>
    <row r="17" spans="1:33" x14ac:dyDescent="0.2">
      <c r="A17" t="s">
        <v>46</v>
      </c>
      <c r="B17" s="1">
        <v>1</v>
      </c>
      <c r="C17" s="1">
        <v>37</v>
      </c>
      <c r="D17" s="1" t="s">
        <v>63</v>
      </c>
      <c r="E17">
        <v>10</v>
      </c>
      <c r="X17">
        <v>18</v>
      </c>
      <c r="Y17">
        <f t="shared" si="0"/>
        <v>0</v>
      </c>
      <c r="Z17">
        <f t="shared" si="1"/>
        <v>0</v>
      </c>
      <c r="AE17">
        <f t="shared" si="2"/>
        <v>45</v>
      </c>
      <c r="AG17">
        <f t="shared" si="3"/>
        <v>0</v>
      </c>
    </row>
    <row r="18" spans="1:33" x14ac:dyDescent="0.2">
      <c r="A18" t="s">
        <v>44</v>
      </c>
      <c r="B18" s="1">
        <v>1</v>
      </c>
      <c r="C18" s="1">
        <v>1</v>
      </c>
      <c r="D18" s="1" t="s">
        <v>62</v>
      </c>
      <c r="E18">
        <v>12</v>
      </c>
      <c r="X18">
        <v>18</v>
      </c>
      <c r="Y18">
        <f t="shared" si="0"/>
        <v>0</v>
      </c>
      <c r="Z18">
        <f t="shared" si="1"/>
        <v>0</v>
      </c>
      <c r="AE18">
        <f t="shared" si="2"/>
        <v>45</v>
      </c>
      <c r="AG18">
        <f t="shared" si="3"/>
        <v>0</v>
      </c>
    </row>
    <row r="19" spans="1:33" x14ac:dyDescent="0.2">
      <c r="A19" s="3" t="s">
        <v>47</v>
      </c>
      <c r="B19" s="4">
        <v>3</v>
      </c>
      <c r="C19" s="4">
        <v>28</v>
      </c>
      <c r="D19" s="4" t="s">
        <v>63</v>
      </c>
      <c r="E19" s="3">
        <v>19</v>
      </c>
      <c r="X19">
        <v>18</v>
      </c>
      <c r="Y19">
        <f t="shared" si="0"/>
        <v>0</v>
      </c>
      <c r="Z19">
        <f t="shared" si="1"/>
        <v>0</v>
      </c>
      <c r="AE19">
        <f t="shared" si="2"/>
        <v>45</v>
      </c>
      <c r="AG19">
        <f t="shared" si="3"/>
        <v>0</v>
      </c>
    </row>
    <row r="20" spans="1:33" x14ac:dyDescent="0.2">
      <c r="A20" t="s">
        <v>60</v>
      </c>
      <c r="B20" s="1">
        <v>2</v>
      </c>
      <c r="C20" s="1">
        <v>24</v>
      </c>
      <c r="D20" s="1" t="s">
        <v>62</v>
      </c>
      <c r="E20">
        <v>3</v>
      </c>
      <c r="X20">
        <v>18</v>
      </c>
      <c r="Y20">
        <f t="shared" si="0"/>
        <v>0</v>
      </c>
      <c r="Z20">
        <f t="shared" si="1"/>
        <v>0</v>
      </c>
      <c r="AE20">
        <f t="shared" si="2"/>
        <v>45</v>
      </c>
      <c r="AG20">
        <f t="shared" si="3"/>
        <v>0</v>
      </c>
    </row>
    <row r="21" spans="1:33" x14ac:dyDescent="0.2">
      <c r="A21" t="s">
        <v>58</v>
      </c>
      <c r="B21" s="1">
        <v>1</v>
      </c>
      <c r="C21" s="1">
        <v>49</v>
      </c>
      <c r="D21" s="1" t="s">
        <v>63</v>
      </c>
      <c r="E21">
        <v>14</v>
      </c>
      <c r="X21">
        <v>18</v>
      </c>
      <c r="Y21">
        <f t="shared" si="0"/>
        <v>0</v>
      </c>
      <c r="Z21">
        <f t="shared" si="1"/>
        <v>0</v>
      </c>
      <c r="AE21">
        <f t="shared" si="2"/>
        <v>45</v>
      </c>
      <c r="AG21">
        <f t="shared" si="3"/>
        <v>0</v>
      </c>
    </row>
    <row r="22" spans="1:33" x14ac:dyDescent="0.2">
      <c r="A22" t="s">
        <v>61</v>
      </c>
      <c r="B22" s="1">
        <v>2</v>
      </c>
      <c r="C22" s="1">
        <v>8</v>
      </c>
      <c r="D22" s="1" t="s">
        <v>62</v>
      </c>
      <c r="E22">
        <v>14</v>
      </c>
      <c r="X22">
        <v>18</v>
      </c>
      <c r="Y22">
        <f t="shared" si="0"/>
        <v>0</v>
      </c>
      <c r="Z22">
        <f t="shared" si="1"/>
        <v>0</v>
      </c>
      <c r="AE22">
        <f t="shared" si="2"/>
        <v>45</v>
      </c>
      <c r="AG22">
        <f t="shared" si="3"/>
        <v>0</v>
      </c>
    </row>
    <row r="23" spans="1:33" x14ac:dyDescent="0.2">
      <c r="A23" s="3" t="s">
        <v>59</v>
      </c>
      <c r="B23" s="4">
        <v>3</v>
      </c>
      <c r="C23" s="4">
        <v>16</v>
      </c>
      <c r="D23" s="4" t="s">
        <v>63</v>
      </c>
      <c r="E23" s="3">
        <v>16</v>
      </c>
      <c r="X23">
        <v>18</v>
      </c>
      <c r="Y23">
        <f t="shared" si="0"/>
        <v>0</v>
      </c>
      <c r="Z23">
        <f t="shared" si="1"/>
        <v>0</v>
      </c>
      <c r="AE23">
        <f t="shared" si="2"/>
        <v>45</v>
      </c>
      <c r="AG23">
        <f t="shared" si="3"/>
        <v>0</v>
      </c>
    </row>
    <row r="24" spans="1:33" x14ac:dyDescent="0.2">
      <c r="A24" t="s">
        <v>12</v>
      </c>
      <c r="B24" s="1">
        <v>2</v>
      </c>
      <c r="C24" s="1">
        <v>28</v>
      </c>
      <c r="D24" s="1" t="s">
        <v>62</v>
      </c>
      <c r="E24">
        <v>2</v>
      </c>
      <c r="X24">
        <v>18</v>
      </c>
      <c r="Y24">
        <f t="shared" si="0"/>
        <v>0</v>
      </c>
      <c r="Z24">
        <f t="shared" si="1"/>
        <v>0</v>
      </c>
      <c r="AB24">
        <v>2</v>
      </c>
      <c r="AC24">
        <v>0</v>
      </c>
      <c r="AE24">
        <f t="shared" si="2"/>
        <v>45</v>
      </c>
      <c r="AF24">
        <f>11+0</f>
        <v>11</v>
      </c>
      <c r="AG24">
        <f t="shared" si="3"/>
        <v>0.24444444444444444</v>
      </c>
    </row>
    <row r="25" spans="1:33" x14ac:dyDescent="0.2">
      <c r="A25" t="s">
        <v>9</v>
      </c>
      <c r="B25" s="1">
        <v>2</v>
      </c>
      <c r="C25" s="1">
        <v>36</v>
      </c>
      <c r="D25" s="1" t="s">
        <v>62</v>
      </c>
      <c r="E25">
        <v>3</v>
      </c>
      <c r="J25">
        <v>1</v>
      </c>
      <c r="X25">
        <v>18</v>
      </c>
      <c r="Y25">
        <f t="shared" si="0"/>
        <v>1</v>
      </c>
      <c r="Z25">
        <f t="shared" si="1"/>
        <v>5.5555555555555552E-2</v>
      </c>
      <c r="AB25">
        <v>3</v>
      </c>
      <c r="AC25">
        <f>Z25</f>
        <v>5.5555555555555552E-2</v>
      </c>
      <c r="AE25">
        <f t="shared" si="2"/>
        <v>45</v>
      </c>
      <c r="AF25">
        <f>1+1</f>
        <v>2</v>
      </c>
      <c r="AG25">
        <f t="shared" si="3"/>
        <v>4.4444444444444446E-2</v>
      </c>
    </row>
    <row r="26" spans="1:33" x14ac:dyDescent="0.2">
      <c r="A26" t="s">
        <v>15</v>
      </c>
      <c r="B26" s="1">
        <v>2</v>
      </c>
      <c r="C26" s="1">
        <v>12</v>
      </c>
      <c r="D26" s="1" t="s">
        <v>62</v>
      </c>
      <c r="E26">
        <v>4</v>
      </c>
      <c r="X26">
        <v>18</v>
      </c>
      <c r="Y26">
        <f t="shared" si="0"/>
        <v>0</v>
      </c>
      <c r="Z26">
        <f t="shared" si="1"/>
        <v>0</v>
      </c>
      <c r="AB26">
        <v>4</v>
      </c>
      <c r="AC26">
        <v>0</v>
      </c>
      <c r="AE26">
        <f t="shared" si="2"/>
        <v>45</v>
      </c>
      <c r="AF26">
        <f>3+1</f>
        <v>4</v>
      </c>
      <c r="AG26">
        <f t="shared" si="3"/>
        <v>8.8888888888888892E-2</v>
      </c>
    </row>
    <row r="27" spans="1:33" x14ac:dyDescent="0.2">
      <c r="A27" t="s">
        <v>16</v>
      </c>
      <c r="B27" s="1">
        <v>1</v>
      </c>
      <c r="C27" s="1">
        <v>39</v>
      </c>
      <c r="D27" s="1" t="s">
        <v>63</v>
      </c>
      <c r="E27">
        <v>6</v>
      </c>
      <c r="X27">
        <v>18</v>
      </c>
      <c r="Y27">
        <f t="shared" si="0"/>
        <v>0</v>
      </c>
      <c r="Z27">
        <f t="shared" si="1"/>
        <v>0</v>
      </c>
      <c r="AB27">
        <v>6</v>
      </c>
      <c r="AC27">
        <v>0</v>
      </c>
      <c r="AE27">
        <f t="shared" si="2"/>
        <v>45</v>
      </c>
      <c r="AF27">
        <f>3+0</f>
        <v>3</v>
      </c>
      <c r="AG27">
        <f t="shared" si="3"/>
        <v>6.6666666666666666E-2</v>
      </c>
    </row>
    <row r="28" spans="1:33" x14ac:dyDescent="0.2">
      <c r="A28" t="s">
        <v>8</v>
      </c>
      <c r="B28" s="1">
        <v>3</v>
      </c>
      <c r="C28" s="1">
        <v>33</v>
      </c>
      <c r="D28" s="1" t="s">
        <v>63</v>
      </c>
      <c r="E28">
        <v>7</v>
      </c>
      <c r="X28">
        <v>18</v>
      </c>
      <c r="Y28">
        <f t="shared" si="0"/>
        <v>0</v>
      </c>
      <c r="Z28">
        <f t="shared" si="1"/>
        <v>0</v>
      </c>
      <c r="AE28">
        <f t="shared" si="2"/>
        <v>45</v>
      </c>
      <c r="AG28">
        <f t="shared" si="3"/>
        <v>0</v>
      </c>
    </row>
    <row r="29" spans="1:33" x14ac:dyDescent="0.2">
      <c r="A29" t="s">
        <v>7</v>
      </c>
      <c r="B29" s="1">
        <v>1</v>
      </c>
      <c r="C29" s="1">
        <v>43</v>
      </c>
      <c r="D29" s="1" t="s">
        <v>62</v>
      </c>
      <c r="E29">
        <v>7</v>
      </c>
      <c r="X29">
        <v>18</v>
      </c>
      <c r="Y29">
        <f t="shared" si="0"/>
        <v>0</v>
      </c>
      <c r="Z29">
        <f t="shared" si="1"/>
        <v>0</v>
      </c>
      <c r="AB29">
        <v>7</v>
      </c>
      <c r="AC29">
        <v>0</v>
      </c>
      <c r="AE29">
        <f t="shared" si="2"/>
        <v>45</v>
      </c>
      <c r="AF29">
        <v>7</v>
      </c>
      <c r="AG29">
        <f>AF29/90</f>
        <v>7.7777777777777779E-2</v>
      </c>
    </row>
    <row r="30" spans="1:33" x14ac:dyDescent="0.2">
      <c r="A30" t="s">
        <v>14</v>
      </c>
      <c r="B30" s="1">
        <v>1</v>
      </c>
      <c r="C30" s="1">
        <v>40</v>
      </c>
      <c r="D30" s="1" t="s">
        <v>63</v>
      </c>
      <c r="E30">
        <v>8</v>
      </c>
      <c r="X30">
        <v>18</v>
      </c>
      <c r="Y30">
        <f t="shared" si="0"/>
        <v>0</v>
      </c>
      <c r="Z30">
        <f t="shared" si="1"/>
        <v>0</v>
      </c>
      <c r="AB30">
        <v>8</v>
      </c>
      <c r="AC30">
        <v>0</v>
      </c>
      <c r="AE30">
        <f t="shared" si="2"/>
        <v>45</v>
      </c>
      <c r="AF30">
        <f>1+0</f>
        <v>1</v>
      </c>
      <c r="AG30">
        <f t="shared" si="3"/>
        <v>2.2222222222222223E-2</v>
      </c>
    </row>
    <row r="31" spans="1:33" x14ac:dyDescent="0.2">
      <c r="A31" t="s">
        <v>6</v>
      </c>
      <c r="B31" s="1">
        <v>2</v>
      </c>
      <c r="C31" s="1">
        <v>25</v>
      </c>
      <c r="D31" s="1" t="s">
        <v>62</v>
      </c>
      <c r="E31">
        <v>9</v>
      </c>
      <c r="X31">
        <v>18</v>
      </c>
      <c r="Y31">
        <f t="shared" si="0"/>
        <v>0</v>
      </c>
      <c r="Z31">
        <f t="shared" si="1"/>
        <v>0</v>
      </c>
      <c r="AB31">
        <v>9</v>
      </c>
      <c r="AC31">
        <v>0</v>
      </c>
      <c r="AE31">
        <f t="shared" si="2"/>
        <v>45</v>
      </c>
      <c r="AG31">
        <f t="shared" si="3"/>
        <v>0</v>
      </c>
    </row>
    <row r="32" spans="1:33" x14ac:dyDescent="0.2">
      <c r="A32" t="s">
        <v>5</v>
      </c>
      <c r="B32" s="1">
        <v>3</v>
      </c>
      <c r="C32" s="1">
        <v>48</v>
      </c>
      <c r="D32" s="1" t="s">
        <v>62</v>
      </c>
      <c r="E32">
        <v>10</v>
      </c>
      <c r="X32">
        <v>18</v>
      </c>
      <c r="Y32">
        <f t="shared" si="0"/>
        <v>0</v>
      </c>
      <c r="Z32">
        <f t="shared" si="1"/>
        <v>0</v>
      </c>
      <c r="AB32">
        <v>10</v>
      </c>
      <c r="AC32">
        <v>0</v>
      </c>
      <c r="AE32">
        <f t="shared" si="2"/>
        <v>45</v>
      </c>
      <c r="AG32">
        <f t="shared" si="3"/>
        <v>0</v>
      </c>
    </row>
    <row r="33" spans="1:33" x14ac:dyDescent="0.2">
      <c r="A33" t="s">
        <v>17</v>
      </c>
      <c r="B33" s="1">
        <v>1</v>
      </c>
      <c r="C33" s="1">
        <v>6</v>
      </c>
      <c r="D33" s="1" t="s">
        <v>62</v>
      </c>
      <c r="E33">
        <v>10</v>
      </c>
      <c r="X33">
        <v>18</v>
      </c>
      <c r="Y33">
        <f t="shared" si="0"/>
        <v>0</v>
      </c>
      <c r="Z33">
        <f t="shared" si="1"/>
        <v>0</v>
      </c>
      <c r="AE33">
        <f t="shared" si="2"/>
        <v>45</v>
      </c>
      <c r="AG33">
        <f t="shared" si="3"/>
        <v>0</v>
      </c>
    </row>
    <row r="34" spans="1:33" x14ac:dyDescent="0.2">
      <c r="A34" t="s">
        <v>10</v>
      </c>
      <c r="B34" s="1">
        <v>1</v>
      </c>
      <c r="C34" s="1">
        <v>39</v>
      </c>
      <c r="D34" s="1" t="s">
        <v>62</v>
      </c>
      <c r="E34">
        <v>11</v>
      </c>
      <c r="X34">
        <v>18</v>
      </c>
      <c r="Y34">
        <f t="shared" ref="Y34:Y59" si="4">SUM(F34:W34)</f>
        <v>0</v>
      </c>
      <c r="Z34">
        <f t="shared" ref="Z34:Z59" si="5">Y34/X34</f>
        <v>0</v>
      </c>
      <c r="AB34">
        <v>11</v>
      </c>
      <c r="AC34">
        <v>0</v>
      </c>
      <c r="AE34">
        <f t="shared" si="2"/>
        <v>45</v>
      </c>
      <c r="AG34">
        <f t="shared" si="3"/>
        <v>0</v>
      </c>
    </row>
    <row r="35" spans="1:33" x14ac:dyDescent="0.2">
      <c r="A35" t="s">
        <v>64</v>
      </c>
      <c r="B35" s="1">
        <v>2</v>
      </c>
      <c r="C35" s="1">
        <v>1</v>
      </c>
      <c r="D35" s="1" t="s">
        <v>63</v>
      </c>
      <c r="E35">
        <v>13</v>
      </c>
      <c r="X35">
        <v>18</v>
      </c>
      <c r="Y35">
        <f t="shared" si="4"/>
        <v>0</v>
      </c>
      <c r="Z35">
        <f t="shared" si="5"/>
        <v>0</v>
      </c>
      <c r="AB35">
        <v>13</v>
      </c>
      <c r="AC35">
        <v>0</v>
      </c>
      <c r="AE35">
        <f t="shared" si="2"/>
        <v>45</v>
      </c>
      <c r="AG35">
        <f t="shared" si="3"/>
        <v>0</v>
      </c>
    </row>
    <row r="36" spans="1:33" x14ac:dyDescent="0.2">
      <c r="A36" t="s">
        <v>13</v>
      </c>
      <c r="B36" s="1">
        <v>3</v>
      </c>
      <c r="C36" s="1">
        <v>2</v>
      </c>
      <c r="D36" s="1" t="s">
        <v>62</v>
      </c>
      <c r="E36">
        <v>16</v>
      </c>
      <c r="X36">
        <v>18</v>
      </c>
      <c r="Y36">
        <f t="shared" si="4"/>
        <v>0</v>
      </c>
      <c r="Z36">
        <f t="shared" si="5"/>
        <v>0</v>
      </c>
      <c r="AB36">
        <v>16</v>
      </c>
      <c r="AC36">
        <v>0</v>
      </c>
      <c r="AE36">
        <f t="shared" si="2"/>
        <v>45</v>
      </c>
      <c r="AG36">
        <f t="shared" si="3"/>
        <v>0</v>
      </c>
    </row>
    <row r="37" spans="1:33" x14ac:dyDescent="0.2">
      <c r="A37" s="3" t="s">
        <v>11</v>
      </c>
      <c r="B37" s="4">
        <v>2</v>
      </c>
      <c r="C37" s="4">
        <v>5</v>
      </c>
      <c r="D37" s="4" t="s">
        <v>62</v>
      </c>
      <c r="E37" s="3">
        <v>20</v>
      </c>
      <c r="X37">
        <v>18</v>
      </c>
      <c r="Y37">
        <f t="shared" si="4"/>
        <v>0</v>
      </c>
      <c r="Z37">
        <f t="shared" si="5"/>
        <v>0</v>
      </c>
      <c r="AB37" s="3">
        <v>20</v>
      </c>
      <c r="AC37" s="3">
        <v>0</v>
      </c>
      <c r="AE37">
        <f t="shared" si="2"/>
        <v>45</v>
      </c>
      <c r="AG37">
        <f t="shared" si="3"/>
        <v>0</v>
      </c>
    </row>
    <row r="38" spans="1:33" x14ac:dyDescent="0.2">
      <c r="A38" t="s">
        <v>33</v>
      </c>
      <c r="B38" s="1">
        <v>1</v>
      </c>
      <c r="C38" s="1">
        <v>32</v>
      </c>
      <c r="D38" s="1" t="s">
        <v>63</v>
      </c>
      <c r="E38">
        <v>2</v>
      </c>
      <c r="G38" s="1">
        <v>1</v>
      </c>
      <c r="J38">
        <v>1</v>
      </c>
      <c r="K38">
        <v>1</v>
      </c>
      <c r="M38">
        <v>1</v>
      </c>
      <c r="O38">
        <v>1</v>
      </c>
      <c r="R38">
        <v>1</v>
      </c>
      <c r="S38">
        <v>1</v>
      </c>
      <c r="U38">
        <v>1</v>
      </c>
      <c r="X38">
        <v>18</v>
      </c>
      <c r="Y38">
        <f t="shared" si="4"/>
        <v>8</v>
      </c>
      <c r="Z38">
        <f t="shared" si="5"/>
        <v>0.44444444444444442</v>
      </c>
      <c r="AE38">
        <f t="shared" si="2"/>
        <v>45</v>
      </c>
      <c r="AG38">
        <f t="shared" si="3"/>
        <v>0</v>
      </c>
    </row>
    <row r="39" spans="1:33" x14ac:dyDescent="0.2">
      <c r="A39" t="s">
        <v>40</v>
      </c>
      <c r="B39" s="1">
        <v>2</v>
      </c>
      <c r="C39" s="1">
        <v>28</v>
      </c>
      <c r="D39" s="1" t="s">
        <v>62</v>
      </c>
      <c r="E39">
        <v>2</v>
      </c>
      <c r="F39" s="1">
        <v>1</v>
      </c>
      <c r="G39" s="1">
        <v>1</v>
      </c>
      <c r="J39">
        <v>1</v>
      </c>
      <c r="L39">
        <v>1</v>
      </c>
      <c r="P39">
        <v>1</v>
      </c>
      <c r="Q39">
        <v>1</v>
      </c>
      <c r="R39">
        <v>1</v>
      </c>
      <c r="S39">
        <v>1</v>
      </c>
      <c r="U39">
        <v>1</v>
      </c>
      <c r="V39">
        <v>1</v>
      </c>
      <c r="X39">
        <v>18</v>
      </c>
      <c r="Y39">
        <f t="shared" si="4"/>
        <v>10</v>
      </c>
      <c r="Z39">
        <f t="shared" si="5"/>
        <v>0.55555555555555558</v>
      </c>
      <c r="AB39">
        <v>2</v>
      </c>
      <c r="AC39">
        <f>SUM(Y38:Y39)/SUM(X38:X39)</f>
        <v>0.5</v>
      </c>
      <c r="AE39">
        <f t="shared" si="2"/>
        <v>45</v>
      </c>
      <c r="AF39">
        <f>25+18</f>
        <v>43</v>
      </c>
      <c r="AG39">
        <f>AF39/90</f>
        <v>0.4777777777777778</v>
      </c>
    </row>
    <row r="40" spans="1:33" x14ac:dyDescent="0.2">
      <c r="A40" t="s">
        <v>37</v>
      </c>
      <c r="B40" s="1">
        <v>1</v>
      </c>
      <c r="C40" s="1">
        <v>15</v>
      </c>
      <c r="D40" s="1" t="s">
        <v>63</v>
      </c>
      <c r="E40">
        <v>3</v>
      </c>
      <c r="F40" s="1">
        <v>1</v>
      </c>
      <c r="G40" s="1">
        <v>1</v>
      </c>
      <c r="L40">
        <v>1</v>
      </c>
      <c r="M40">
        <v>1</v>
      </c>
      <c r="P40">
        <v>1</v>
      </c>
      <c r="R40">
        <v>1</v>
      </c>
      <c r="S40">
        <v>1</v>
      </c>
      <c r="V40">
        <v>1</v>
      </c>
      <c r="W40">
        <v>1</v>
      </c>
      <c r="X40">
        <v>18</v>
      </c>
      <c r="Y40">
        <f t="shared" si="4"/>
        <v>9</v>
      </c>
      <c r="Z40">
        <f t="shared" si="5"/>
        <v>0.5</v>
      </c>
      <c r="AE40">
        <f t="shared" si="2"/>
        <v>45</v>
      </c>
      <c r="AG40">
        <f t="shared" si="3"/>
        <v>0</v>
      </c>
    </row>
    <row r="41" spans="1:33" x14ac:dyDescent="0.2">
      <c r="A41" t="s">
        <v>35</v>
      </c>
      <c r="B41" s="1">
        <v>3</v>
      </c>
      <c r="C41" s="1">
        <v>33</v>
      </c>
      <c r="D41" s="1" t="s">
        <v>63</v>
      </c>
      <c r="E41">
        <v>3</v>
      </c>
      <c r="X41">
        <v>18</v>
      </c>
      <c r="Y41">
        <f t="shared" si="4"/>
        <v>0</v>
      </c>
      <c r="Z41">
        <f t="shared" si="5"/>
        <v>0</v>
      </c>
      <c r="AB41">
        <v>3</v>
      </c>
      <c r="AC41">
        <f>SUM(Y40:Y41)/SUM(X40:X41)</f>
        <v>0.25</v>
      </c>
      <c r="AE41">
        <f t="shared" si="2"/>
        <v>45</v>
      </c>
      <c r="AF41">
        <f>24+9</f>
        <v>33</v>
      </c>
      <c r="AG41">
        <f>AF41/90</f>
        <v>0.36666666666666664</v>
      </c>
    </row>
    <row r="42" spans="1:33" x14ac:dyDescent="0.2">
      <c r="A42" t="s">
        <v>41</v>
      </c>
      <c r="B42" s="1">
        <v>1</v>
      </c>
      <c r="C42" s="1">
        <v>18</v>
      </c>
      <c r="D42" s="1" t="s">
        <v>62</v>
      </c>
      <c r="E42">
        <v>9</v>
      </c>
      <c r="S42">
        <v>1</v>
      </c>
      <c r="X42">
        <v>18</v>
      </c>
      <c r="Y42">
        <f t="shared" si="4"/>
        <v>1</v>
      </c>
      <c r="Z42">
        <f t="shared" si="5"/>
        <v>5.5555555555555552E-2</v>
      </c>
      <c r="AB42">
        <v>9</v>
      </c>
      <c r="AC42">
        <f>Z42</f>
        <v>5.5555555555555552E-2</v>
      </c>
      <c r="AE42">
        <f t="shared" si="2"/>
        <v>45</v>
      </c>
      <c r="AF42">
        <f>1+1</f>
        <v>2</v>
      </c>
      <c r="AG42">
        <f>AF42/90</f>
        <v>2.2222222222222223E-2</v>
      </c>
    </row>
    <row r="43" spans="1:33" x14ac:dyDescent="0.2">
      <c r="A43" t="s">
        <v>39</v>
      </c>
      <c r="B43" s="1">
        <v>1</v>
      </c>
      <c r="C43" s="1">
        <v>43</v>
      </c>
      <c r="D43" s="1" t="s">
        <v>62</v>
      </c>
      <c r="E43">
        <v>11</v>
      </c>
      <c r="X43">
        <v>18</v>
      </c>
      <c r="Y43">
        <f t="shared" si="4"/>
        <v>0</v>
      </c>
      <c r="Z43">
        <f t="shared" si="5"/>
        <v>0</v>
      </c>
      <c r="AB43">
        <v>11</v>
      </c>
      <c r="AC43">
        <v>0</v>
      </c>
      <c r="AE43">
        <f t="shared" si="2"/>
        <v>45</v>
      </c>
      <c r="AF43">
        <v>1</v>
      </c>
      <c r="AG43">
        <f>AF43/90</f>
        <v>1.1111111111111112E-2</v>
      </c>
    </row>
    <row r="44" spans="1:33" x14ac:dyDescent="0.2">
      <c r="A44" t="s">
        <v>42</v>
      </c>
      <c r="B44" s="1">
        <v>2</v>
      </c>
      <c r="C44" s="1">
        <v>16</v>
      </c>
      <c r="D44" s="1" t="s">
        <v>63</v>
      </c>
      <c r="E44">
        <v>15</v>
      </c>
      <c r="X44">
        <v>18</v>
      </c>
      <c r="Y44">
        <f t="shared" si="4"/>
        <v>0</v>
      </c>
      <c r="Z44">
        <f t="shared" si="5"/>
        <v>0</v>
      </c>
      <c r="AB44">
        <v>15</v>
      </c>
      <c r="AC44">
        <v>0</v>
      </c>
      <c r="AE44">
        <f t="shared" si="2"/>
        <v>45</v>
      </c>
      <c r="AG44">
        <f t="shared" si="3"/>
        <v>0</v>
      </c>
    </row>
    <row r="45" spans="1:33" x14ac:dyDescent="0.2">
      <c r="A45" t="s">
        <v>34</v>
      </c>
      <c r="B45" s="1">
        <v>1</v>
      </c>
      <c r="C45" s="1">
        <v>37</v>
      </c>
      <c r="D45" s="1" t="s">
        <v>63</v>
      </c>
      <c r="E45">
        <v>15</v>
      </c>
      <c r="X45">
        <v>18</v>
      </c>
      <c r="Y45">
        <f t="shared" si="4"/>
        <v>0</v>
      </c>
      <c r="Z45">
        <f t="shared" si="5"/>
        <v>0</v>
      </c>
      <c r="AE45">
        <f t="shared" si="2"/>
        <v>45</v>
      </c>
      <c r="AG45">
        <f t="shared" si="3"/>
        <v>0</v>
      </c>
    </row>
    <row r="46" spans="1:33" x14ac:dyDescent="0.2">
      <c r="A46" t="s">
        <v>38</v>
      </c>
      <c r="B46" s="1">
        <v>3</v>
      </c>
      <c r="C46" s="1">
        <v>50</v>
      </c>
      <c r="D46" s="1" t="s">
        <v>62</v>
      </c>
      <c r="E46">
        <v>17</v>
      </c>
      <c r="X46">
        <v>18</v>
      </c>
      <c r="Y46">
        <f t="shared" si="4"/>
        <v>0</v>
      </c>
      <c r="Z46">
        <f t="shared" si="5"/>
        <v>0</v>
      </c>
      <c r="AB46">
        <v>17</v>
      </c>
      <c r="AC46">
        <v>0</v>
      </c>
      <c r="AE46">
        <f t="shared" si="2"/>
        <v>45</v>
      </c>
      <c r="AG46">
        <f t="shared" si="3"/>
        <v>0</v>
      </c>
    </row>
    <row r="47" spans="1:33" x14ac:dyDescent="0.2">
      <c r="A47" t="s">
        <v>43</v>
      </c>
      <c r="B47" s="1">
        <v>1</v>
      </c>
      <c r="C47" s="1">
        <v>29</v>
      </c>
      <c r="D47" s="1" t="s">
        <v>63</v>
      </c>
      <c r="E47">
        <v>18</v>
      </c>
      <c r="X47">
        <v>18</v>
      </c>
      <c r="Y47">
        <f t="shared" si="4"/>
        <v>0</v>
      </c>
      <c r="Z47">
        <f t="shared" si="5"/>
        <v>0</v>
      </c>
      <c r="AB47">
        <v>18</v>
      </c>
      <c r="AC47">
        <v>0</v>
      </c>
      <c r="AE47">
        <f t="shared" si="2"/>
        <v>45</v>
      </c>
      <c r="AG47">
        <f t="shared" si="3"/>
        <v>0</v>
      </c>
    </row>
    <row r="48" spans="1:33" x14ac:dyDescent="0.2">
      <c r="A48" t="s">
        <v>32</v>
      </c>
      <c r="B48" s="1">
        <v>1</v>
      </c>
      <c r="C48" s="1">
        <v>45</v>
      </c>
      <c r="D48" s="1" t="s">
        <v>62</v>
      </c>
      <c r="E48">
        <v>19</v>
      </c>
      <c r="X48">
        <v>18</v>
      </c>
      <c r="Y48">
        <f t="shared" si="4"/>
        <v>0</v>
      </c>
      <c r="Z48">
        <f t="shared" si="5"/>
        <v>0</v>
      </c>
      <c r="AB48">
        <v>19</v>
      </c>
      <c r="AC48">
        <v>0</v>
      </c>
      <c r="AE48">
        <f t="shared" si="2"/>
        <v>45</v>
      </c>
      <c r="AG48">
        <f t="shared" si="3"/>
        <v>0</v>
      </c>
    </row>
    <row r="49" spans="1:33" x14ac:dyDescent="0.2">
      <c r="A49" s="3" t="s">
        <v>36</v>
      </c>
      <c r="B49" s="4">
        <v>2</v>
      </c>
      <c r="C49" s="4">
        <v>21</v>
      </c>
      <c r="D49" s="4" t="s">
        <v>63</v>
      </c>
      <c r="E49" s="3">
        <v>20</v>
      </c>
      <c r="X49">
        <v>18</v>
      </c>
      <c r="Y49">
        <f t="shared" si="4"/>
        <v>0</v>
      </c>
      <c r="Z49">
        <f t="shared" si="5"/>
        <v>0</v>
      </c>
      <c r="AB49" s="3">
        <v>20</v>
      </c>
      <c r="AC49" s="3">
        <v>0</v>
      </c>
      <c r="AE49">
        <f t="shared" si="2"/>
        <v>45</v>
      </c>
      <c r="AG49">
        <f t="shared" si="3"/>
        <v>0</v>
      </c>
    </row>
    <row r="50" spans="1:33" x14ac:dyDescent="0.2">
      <c r="A50" t="s">
        <v>53</v>
      </c>
      <c r="B50" s="1">
        <v>2</v>
      </c>
      <c r="C50" s="1">
        <v>33</v>
      </c>
      <c r="D50" s="1" t="s">
        <v>62</v>
      </c>
      <c r="E50">
        <v>1</v>
      </c>
      <c r="P50">
        <v>1</v>
      </c>
      <c r="X50">
        <v>18</v>
      </c>
      <c r="Y50">
        <f t="shared" si="4"/>
        <v>1</v>
      </c>
      <c r="Z50">
        <f t="shared" si="5"/>
        <v>5.5555555555555552E-2</v>
      </c>
      <c r="AB50">
        <v>1</v>
      </c>
      <c r="AC50">
        <f>Z50</f>
        <v>5.5555555555555552E-2</v>
      </c>
      <c r="AE50">
        <f t="shared" si="2"/>
        <v>45</v>
      </c>
      <c r="AG50">
        <f t="shared" si="3"/>
        <v>0</v>
      </c>
    </row>
    <row r="51" spans="1:33" x14ac:dyDescent="0.2">
      <c r="A51" t="s">
        <v>56</v>
      </c>
      <c r="B51" s="1">
        <v>1</v>
      </c>
      <c r="C51" s="1">
        <v>14</v>
      </c>
      <c r="D51" s="1" t="s">
        <v>62</v>
      </c>
      <c r="E51">
        <v>11</v>
      </c>
      <c r="X51">
        <v>18</v>
      </c>
      <c r="Y51">
        <f t="shared" si="4"/>
        <v>0</v>
      </c>
      <c r="Z51">
        <f t="shared" si="5"/>
        <v>0</v>
      </c>
      <c r="AE51">
        <f t="shared" si="2"/>
        <v>45</v>
      </c>
      <c r="AG51">
        <f t="shared" si="3"/>
        <v>0</v>
      </c>
    </row>
    <row r="52" spans="1:33" x14ac:dyDescent="0.2">
      <c r="A52" t="s">
        <v>54</v>
      </c>
      <c r="B52" s="1">
        <v>2</v>
      </c>
      <c r="C52" s="1">
        <v>37</v>
      </c>
      <c r="D52" s="1" t="s">
        <v>63</v>
      </c>
      <c r="E52">
        <v>11</v>
      </c>
      <c r="X52">
        <v>18</v>
      </c>
      <c r="Y52">
        <f t="shared" si="4"/>
        <v>0</v>
      </c>
      <c r="Z52">
        <f t="shared" si="5"/>
        <v>0</v>
      </c>
      <c r="AB52">
        <v>11</v>
      </c>
      <c r="AC52">
        <v>0</v>
      </c>
      <c r="AE52">
        <f t="shared" si="2"/>
        <v>45</v>
      </c>
      <c r="AG52">
        <f t="shared" si="3"/>
        <v>0</v>
      </c>
    </row>
    <row r="53" spans="1:33" x14ac:dyDescent="0.2">
      <c r="A53" t="s">
        <v>52</v>
      </c>
      <c r="B53" s="1">
        <v>2</v>
      </c>
      <c r="C53" s="1">
        <v>7</v>
      </c>
      <c r="D53" s="1" t="s">
        <v>63</v>
      </c>
      <c r="E53">
        <v>13</v>
      </c>
      <c r="X53">
        <v>18</v>
      </c>
      <c r="Y53">
        <f t="shared" si="4"/>
        <v>0</v>
      </c>
      <c r="Z53">
        <f t="shared" si="5"/>
        <v>0</v>
      </c>
      <c r="AB53">
        <v>13</v>
      </c>
      <c r="AC53">
        <v>0</v>
      </c>
      <c r="AE53">
        <f t="shared" si="2"/>
        <v>45</v>
      </c>
      <c r="AG53">
        <f t="shared" si="3"/>
        <v>0</v>
      </c>
    </row>
    <row r="54" spans="1:33" x14ac:dyDescent="0.2">
      <c r="A54" t="s">
        <v>48</v>
      </c>
      <c r="B54" s="1">
        <v>1</v>
      </c>
      <c r="C54" s="1">
        <v>23</v>
      </c>
      <c r="D54" s="1" t="s">
        <v>62</v>
      </c>
      <c r="E54">
        <v>13</v>
      </c>
      <c r="X54">
        <v>18</v>
      </c>
      <c r="Y54">
        <f t="shared" si="4"/>
        <v>0</v>
      </c>
      <c r="Z54">
        <f t="shared" si="5"/>
        <v>0</v>
      </c>
      <c r="AE54">
        <f t="shared" si="2"/>
        <v>45</v>
      </c>
      <c r="AG54">
        <f t="shared" si="3"/>
        <v>0</v>
      </c>
    </row>
    <row r="55" spans="1:33" x14ac:dyDescent="0.2">
      <c r="A55" t="s">
        <v>50</v>
      </c>
      <c r="B55" s="1">
        <v>1</v>
      </c>
      <c r="C55" s="1">
        <v>19</v>
      </c>
      <c r="D55" s="1" t="s">
        <v>63</v>
      </c>
      <c r="E55">
        <v>15</v>
      </c>
      <c r="X55">
        <v>18</v>
      </c>
      <c r="Y55">
        <f t="shared" si="4"/>
        <v>0</v>
      </c>
      <c r="Z55">
        <f t="shared" si="5"/>
        <v>0</v>
      </c>
      <c r="AB55">
        <v>15</v>
      </c>
      <c r="AC55">
        <v>0</v>
      </c>
      <c r="AE55">
        <f t="shared" si="2"/>
        <v>45</v>
      </c>
      <c r="AG55">
        <f t="shared" si="3"/>
        <v>0</v>
      </c>
    </row>
    <row r="56" spans="1:33" x14ac:dyDescent="0.2">
      <c r="A56" t="s">
        <v>55</v>
      </c>
      <c r="B56" s="1">
        <v>1</v>
      </c>
      <c r="C56" s="1">
        <v>40</v>
      </c>
      <c r="D56" s="1" t="s">
        <v>63</v>
      </c>
      <c r="E56">
        <v>18</v>
      </c>
      <c r="X56">
        <v>18</v>
      </c>
      <c r="Y56">
        <f t="shared" si="4"/>
        <v>0</v>
      </c>
      <c r="Z56">
        <f t="shared" si="5"/>
        <v>0</v>
      </c>
      <c r="AE56">
        <f t="shared" si="2"/>
        <v>45</v>
      </c>
      <c r="AG56">
        <f t="shared" si="3"/>
        <v>0</v>
      </c>
    </row>
    <row r="57" spans="1:33" x14ac:dyDescent="0.2">
      <c r="A57" t="s">
        <v>57</v>
      </c>
      <c r="B57" s="1">
        <v>2</v>
      </c>
      <c r="C57" s="1">
        <v>50</v>
      </c>
      <c r="D57" s="1" t="s">
        <v>62</v>
      </c>
      <c r="E57">
        <v>18</v>
      </c>
      <c r="X57">
        <v>18</v>
      </c>
      <c r="Y57">
        <f t="shared" si="4"/>
        <v>0</v>
      </c>
      <c r="Z57">
        <f t="shared" si="5"/>
        <v>0</v>
      </c>
      <c r="AB57">
        <v>18</v>
      </c>
      <c r="AC57">
        <v>0</v>
      </c>
      <c r="AE57">
        <f t="shared" si="2"/>
        <v>45</v>
      </c>
      <c r="AG57">
        <f t="shared" si="3"/>
        <v>0</v>
      </c>
    </row>
    <row r="58" spans="1:33" x14ac:dyDescent="0.2">
      <c r="A58" t="s">
        <v>49</v>
      </c>
      <c r="B58" s="1">
        <v>3</v>
      </c>
      <c r="C58" s="1">
        <v>42</v>
      </c>
      <c r="D58" s="1" t="s">
        <v>62</v>
      </c>
      <c r="E58">
        <v>19</v>
      </c>
      <c r="X58">
        <v>18</v>
      </c>
      <c r="Y58">
        <f t="shared" si="4"/>
        <v>0</v>
      </c>
      <c r="Z58">
        <f t="shared" si="5"/>
        <v>0</v>
      </c>
      <c r="AB58">
        <v>19</v>
      </c>
      <c r="AC58">
        <v>0</v>
      </c>
      <c r="AE58">
        <f t="shared" si="2"/>
        <v>45</v>
      </c>
      <c r="AG58">
        <f t="shared" si="3"/>
        <v>0</v>
      </c>
    </row>
    <row r="59" spans="1:33" x14ac:dyDescent="0.2">
      <c r="A59" s="3" t="s">
        <v>51</v>
      </c>
      <c r="B59" s="4">
        <v>2</v>
      </c>
      <c r="C59" s="4">
        <v>22</v>
      </c>
      <c r="D59" s="4" t="s">
        <v>63</v>
      </c>
      <c r="E59" s="3">
        <v>20</v>
      </c>
      <c r="X59">
        <v>18</v>
      </c>
      <c r="Y59">
        <f t="shared" si="4"/>
        <v>0</v>
      </c>
      <c r="Z59">
        <f t="shared" si="5"/>
        <v>0</v>
      </c>
      <c r="AB59">
        <v>20</v>
      </c>
      <c r="AC59">
        <v>0</v>
      </c>
      <c r="AE59">
        <f t="shared" si="2"/>
        <v>45</v>
      </c>
      <c r="AG59">
        <f t="shared" si="3"/>
        <v>0</v>
      </c>
    </row>
    <row r="60" spans="1:33" x14ac:dyDescent="0.2">
      <c r="E60" t="s">
        <v>99</v>
      </c>
    </row>
    <row r="61" spans="1:33" x14ac:dyDescent="0.2">
      <c r="A61" t="s">
        <v>76</v>
      </c>
      <c r="C61">
        <f>AVERAGE(F51:W61)</f>
        <v>15.722222222222221</v>
      </c>
      <c r="F61">
        <v>16</v>
      </c>
      <c r="G61">
        <v>23</v>
      </c>
      <c r="H61">
        <v>23</v>
      </c>
      <c r="I61">
        <v>15</v>
      </c>
      <c r="J61">
        <v>11</v>
      </c>
      <c r="K61">
        <v>14</v>
      </c>
      <c r="L61">
        <v>17</v>
      </c>
      <c r="M61">
        <v>23</v>
      </c>
      <c r="N61">
        <v>19</v>
      </c>
      <c r="O61">
        <v>14</v>
      </c>
      <c r="P61">
        <v>8</v>
      </c>
      <c r="Q61">
        <v>12</v>
      </c>
      <c r="R61">
        <v>15</v>
      </c>
      <c r="S61">
        <v>22</v>
      </c>
      <c r="T61">
        <v>16</v>
      </c>
      <c r="U61">
        <v>11</v>
      </c>
      <c r="V61">
        <v>11</v>
      </c>
      <c r="W61">
        <v>13</v>
      </c>
    </row>
    <row r="64" spans="1:33" x14ac:dyDescent="0.2">
      <c r="E64" t="s">
        <v>88</v>
      </c>
      <c r="F64">
        <v>2</v>
      </c>
      <c r="G64">
        <v>6</v>
      </c>
      <c r="H64">
        <v>4</v>
      </c>
      <c r="I64">
        <v>4</v>
      </c>
      <c r="J64">
        <v>3</v>
      </c>
      <c r="K64">
        <v>3</v>
      </c>
      <c r="L64">
        <v>1</v>
      </c>
      <c r="M64">
        <v>16</v>
      </c>
      <c r="N64">
        <v>5</v>
      </c>
      <c r="O64">
        <v>4</v>
      </c>
      <c r="P64">
        <v>2</v>
      </c>
      <c r="Q64">
        <v>3</v>
      </c>
      <c r="R64">
        <v>3</v>
      </c>
      <c r="S64">
        <v>10</v>
      </c>
      <c r="T64">
        <v>2</v>
      </c>
      <c r="U64">
        <v>4</v>
      </c>
      <c r="V64">
        <v>4</v>
      </c>
      <c r="W64">
        <v>1</v>
      </c>
      <c r="X64">
        <f>SUM(X2:X59)</f>
        <v>1044</v>
      </c>
      <c r="Y64">
        <f>SUM(Y2:Y59)</f>
        <v>42</v>
      </c>
      <c r="Z64">
        <f>Y64/X64</f>
        <v>4.0229885057471264E-2</v>
      </c>
    </row>
  </sheetData>
  <sortState xmlns:xlrd2="http://schemas.microsoft.com/office/spreadsheetml/2017/richdata2" ref="A50:AF59">
    <sortCondition ref="E50:E5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C17" sqref="C17"/>
    </sheetView>
  </sheetViews>
  <sheetFormatPr baseColWidth="10" defaultRowHeight="16" x14ac:dyDescent="0.2"/>
  <sheetData>
    <row r="1" spans="1:10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  <c r="G1" t="s">
        <v>192</v>
      </c>
      <c r="H1" t="s">
        <v>193</v>
      </c>
      <c r="I1" t="s">
        <v>194</v>
      </c>
      <c r="J1" t="s">
        <v>112</v>
      </c>
    </row>
    <row r="2" spans="1:10" x14ac:dyDescent="0.2">
      <c r="A2" t="s">
        <v>108</v>
      </c>
      <c r="B2">
        <v>0.57099999999999995</v>
      </c>
      <c r="C2">
        <v>0.38900000000000001</v>
      </c>
      <c r="D2">
        <v>0.81</v>
      </c>
      <c r="E2" s="9">
        <v>41500</v>
      </c>
      <c r="G2" s="2">
        <v>0.45700000000000002</v>
      </c>
      <c r="H2">
        <v>0.04</v>
      </c>
      <c r="I2">
        <v>2</v>
      </c>
      <c r="J2" s="9">
        <v>41500</v>
      </c>
    </row>
    <row r="3" spans="1:10" x14ac:dyDescent="0.2">
      <c r="A3" t="s">
        <v>110</v>
      </c>
      <c r="B3">
        <v>2.5999999999999999E-2</v>
      </c>
      <c r="C3">
        <v>4.4999999999999998E-2</v>
      </c>
      <c r="D3">
        <v>3.6999999999999998E-2</v>
      </c>
      <c r="F3" t="s">
        <v>189</v>
      </c>
      <c r="G3">
        <v>0.19600000000000001</v>
      </c>
      <c r="H3">
        <v>3.7999999999999999E-2</v>
      </c>
      <c r="I3">
        <v>0.89</v>
      </c>
    </row>
    <row r="4" spans="1:10" x14ac:dyDescent="0.2">
      <c r="A4" t="s">
        <v>111</v>
      </c>
      <c r="B4">
        <v>0.87</v>
      </c>
      <c r="C4">
        <v>0.13900000000000001</v>
      </c>
      <c r="D4">
        <v>2.1</v>
      </c>
      <c r="G4">
        <v>0.57299999999999995</v>
      </c>
      <c r="H4">
        <v>4.2999999999999997E-2</v>
      </c>
      <c r="I4">
        <v>2.4</v>
      </c>
    </row>
    <row r="5" spans="1:10" x14ac:dyDescent="0.2">
      <c r="A5" t="s">
        <v>113</v>
      </c>
    </row>
    <row r="6" spans="1:10" x14ac:dyDescent="0.2">
      <c r="A6" t="s">
        <v>115</v>
      </c>
      <c r="I6">
        <v>0</v>
      </c>
    </row>
    <row r="7" spans="1:10" x14ac:dyDescent="0.2">
      <c r="A7" t="s">
        <v>116</v>
      </c>
      <c r="I7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88"/>
  <sheetViews>
    <sheetView workbookViewId="0">
      <pane xSplit="6" ySplit="19" topLeftCell="G81" activePane="bottomRight" state="frozen"/>
      <selection pane="topRight" activeCell="G1" sqref="G1"/>
      <selection pane="bottomLeft" activeCell="A20" sqref="A20"/>
      <selection pane="bottomRight" activeCell="C88" sqref="C88"/>
    </sheetView>
  </sheetViews>
  <sheetFormatPr baseColWidth="10" defaultRowHeight="16" x14ac:dyDescent="0.2"/>
  <cols>
    <col min="1" max="1" width="7.33203125" customWidth="1"/>
    <col min="2" max="2" width="8.5" customWidth="1"/>
    <col min="3" max="3" width="8.1640625" customWidth="1"/>
    <col min="4" max="4" width="5.5" customWidth="1"/>
    <col min="5" max="5" width="5.83203125" customWidth="1"/>
    <col min="6" max="6" width="6.83203125" customWidth="1"/>
    <col min="24" max="24" width="7.6640625" customWidth="1"/>
    <col min="25" max="25" width="7.5" customWidth="1"/>
    <col min="26" max="26" width="8.6640625" customWidth="1"/>
    <col min="27" max="27" width="8.1640625" customWidth="1"/>
    <col min="28" max="28" width="9.33203125" customWidth="1"/>
    <col min="29" max="29" width="9" customWidth="1"/>
    <col min="30" max="30" width="7" customWidth="1"/>
    <col min="31" max="31" width="9.33203125" customWidth="1"/>
  </cols>
  <sheetData>
    <row r="1" spans="1:31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134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72</v>
      </c>
      <c r="M1" t="s">
        <v>73</v>
      </c>
      <c r="N1" t="s">
        <v>74</v>
      </c>
      <c r="O1" t="s">
        <v>78</v>
      </c>
      <c r="P1" t="s">
        <v>79</v>
      </c>
      <c r="Q1" t="s">
        <v>80</v>
      </c>
      <c r="R1" t="s">
        <v>82</v>
      </c>
      <c r="S1" t="s">
        <v>83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100</v>
      </c>
      <c r="AA1" t="s">
        <v>101</v>
      </c>
      <c r="AB1" t="s">
        <v>86</v>
      </c>
      <c r="AC1" s="6" t="s">
        <v>87</v>
      </c>
      <c r="AD1" t="s">
        <v>103</v>
      </c>
      <c r="AE1" t="s">
        <v>104</v>
      </c>
    </row>
    <row r="2" spans="1:31" x14ac:dyDescent="0.2">
      <c r="A2" t="s">
        <v>125</v>
      </c>
      <c r="B2">
        <v>2</v>
      </c>
      <c r="C2">
        <v>20</v>
      </c>
      <c r="D2" t="s">
        <v>62</v>
      </c>
      <c r="E2">
        <v>1</v>
      </c>
      <c r="G2">
        <v>1</v>
      </c>
      <c r="L2">
        <v>1</v>
      </c>
      <c r="O2">
        <v>1</v>
      </c>
      <c r="P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Y2">
        <v>1</v>
      </c>
      <c r="Z2">
        <v>20</v>
      </c>
      <c r="AA2">
        <f t="shared" ref="AA2:AA33" si="0">SUM(F2:Y2)</f>
        <v>11</v>
      </c>
      <c r="AB2">
        <f t="shared" ref="AB2:AB33" si="1">AA2/Z2</f>
        <v>0.55000000000000004</v>
      </c>
      <c r="AD2">
        <v>1</v>
      </c>
      <c r="AE2">
        <f>AB2</f>
        <v>0.55000000000000004</v>
      </c>
    </row>
    <row r="3" spans="1:31" x14ac:dyDescent="0.2">
      <c r="A3" t="s">
        <v>127</v>
      </c>
      <c r="B3">
        <v>3</v>
      </c>
      <c r="C3">
        <v>22</v>
      </c>
      <c r="D3" t="s">
        <v>63</v>
      </c>
      <c r="E3">
        <v>3</v>
      </c>
      <c r="L3">
        <v>1</v>
      </c>
      <c r="M3">
        <v>1</v>
      </c>
      <c r="N3">
        <v>1</v>
      </c>
      <c r="O3">
        <v>1</v>
      </c>
      <c r="R3">
        <v>1</v>
      </c>
      <c r="S3">
        <v>1</v>
      </c>
      <c r="Y3">
        <v>1</v>
      </c>
      <c r="Z3">
        <v>20</v>
      </c>
      <c r="AA3">
        <f t="shared" si="0"/>
        <v>7</v>
      </c>
      <c r="AB3">
        <f t="shared" si="1"/>
        <v>0.35</v>
      </c>
      <c r="AC3">
        <f>SUM(AA2:AA16)/SUM(Z2:Z16)</f>
        <v>8.666666666666667E-2</v>
      </c>
      <c r="AD3">
        <v>3</v>
      </c>
      <c r="AE3">
        <f>AB3</f>
        <v>0.35</v>
      </c>
    </row>
    <row r="4" spans="1:31" x14ac:dyDescent="0.2">
      <c r="A4" t="s">
        <v>126</v>
      </c>
      <c r="B4">
        <v>3</v>
      </c>
      <c r="C4">
        <v>29</v>
      </c>
      <c r="D4" t="s">
        <v>62</v>
      </c>
      <c r="E4">
        <v>4</v>
      </c>
      <c r="L4">
        <v>1</v>
      </c>
      <c r="M4">
        <v>1</v>
      </c>
      <c r="N4">
        <v>1</v>
      </c>
      <c r="O4">
        <v>1</v>
      </c>
      <c r="R4">
        <v>1</v>
      </c>
      <c r="U4">
        <v>1</v>
      </c>
      <c r="Y4">
        <v>1</v>
      </c>
      <c r="Z4">
        <v>20</v>
      </c>
      <c r="AA4">
        <f t="shared" si="0"/>
        <v>7</v>
      </c>
      <c r="AB4">
        <f t="shared" si="1"/>
        <v>0.35</v>
      </c>
      <c r="AD4">
        <v>4</v>
      </c>
      <c r="AE4">
        <f t="shared" ref="AE4" si="2">AB4</f>
        <v>0.35</v>
      </c>
    </row>
    <row r="5" spans="1:31" x14ac:dyDescent="0.2">
      <c r="A5" t="s">
        <v>128</v>
      </c>
      <c r="B5">
        <v>2</v>
      </c>
      <c r="C5">
        <v>20</v>
      </c>
      <c r="D5" t="s">
        <v>62</v>
      </c>
      <c r="E5">
        <v>5</v>
      </c>
      <c r="R5">
        <v>1</v>
      </c>
      <c r="Z5">
        <v>20</v>
      </c>
      <c r="AA5">
        <f t="shared" si="0"/>
        <v>1</v>
      </c>
      <c r="AB5">
        <f t="shared" si="1"/>
        <v>0.05</v>
      </c>
      <c r="AD5">
        <v>5</v>
      </c>
      <c r="AE5">
        <f>SUM(AA5:AA6)/SUM(Z5:Z6)</f>
        <v>2.5000000000000001E-2</v>
      </c>
    </row>
    <row r="6" spans="1:31" x14ac:dyDescent="0.2">
      <c r="A6" t="s">
        <v>129</v>
      </c>
      <c r="B6">
        <v>1</v>
      </c>
      <c r="C6">
        <v>44</v>
      </c>
      <c r="D6" t="s">
        <v>63</v>
      </c>
      <c r="E6">
        <v>5</v>
      </c>
      <c r="Z6">
        <v>20</v>
      </c>
      <c r="AA6">
        <f t="shared" si="0"/>
        <v>0</v>
      </c>
      <c r="AB6">
        <f t="shared" si="1"/>
        <v>0</v>
      </c>
    </row>
    <row r="7" spans="1:31" x14ac:dyDescent="0.2">
      <c r="A7" t="s">
        <v>121</v>
      </c>
      <c r="B7">
        <v>1</v>
      </c>
      <c r="C7">
        <v>20</v>
      </c>
      <c r="D7" t="s">
        <v>63</v>
      </c>
      <c r="E7">
        <v>8</v>
      </c>
      <c r="Z7">
        <v>20</v>
      </c>
      <c r="AA7">
        <f t="shared" si="0"/>
        <v>0</v>
      </c>
      <c r="AB7">
        <f t="shared" si="1"/>
        <v>0</v>
      </c>
      <c r="AD7">
        <v>8</v>
      </c>
      <c r="AE7">
        <f>AB7</f>
        <v>0</v>
      </c>
    </row>
    <row r="8" spans="1:31" x14ac:dyDescent="0.2">
      <c r="A8" t="s">
        <v>131</v>
      </c>
      <c r="B8">
        <v>1</v>
      </c>
      <c r="C8">
        <v>25</v>
      </c>
      <c r="D8" t="s">
        <v>62</v>
      </c>
      <c r="E8">
        <v>9</v>
      </c>
      <c r="Z8">
        <v>20</v>
      </c>
      <c r="AA8">
        <f t="shared" si="0"/>
        <v>0</v>
      </c>
      <c r="AB8">
        <f t="shared" si="1"/>
        <v>0</v>
      </c>
      <c r="AD8">
        <v>9</v>
      </c>
      <c r="AE8">
        <v>0</v>
      </c>
    </row>
    <row r="9" spans="1:31" x14ac:dyDescent="0.2">
      <c r="A9" t="s">
        <v>130</v>
      </c>
      <c r="B9">
        <v>2</v>
      </c>
      <c r="C9">
        <v>8</v>
      </c>
      <c r="D9" t="s">
        <v>62</v>
      </c>
      <c r="E9">
        <v>12</v>
      </c>
      <c r="Z9">
        <v>20</v>
      </c>
      <c r="AA9">
        <f t="shared" si="0"/>
        <v>0</v>
      </c>
      <c r="AB9">
        <f t="shared" si="1"/>
        <v>0</v>
      </c>
      <c r="AD9">
        <v>12</v>
      </c>
      <c r="AE9">
        <v>0</v>
      </c>
    </row>
    <row r="10" spans="1:31" x14ac:dyDescent="0.2">
      <c r="A10" t="s">
        <v>132</v>
      </c>
      <c r="B10">
        <v>2</v>
      </c>
      <c r="C10">
        <v>28</v>
      </c>
      <c r="D10" t="s">
        <v>63</v>
      </c>
      <c r="E10">
        <v>12</v>
      </c>
      <c r="Z10">
        <v>20</v>
      </c>
      <c r="AA10">
        <f t="shared" si="0"/>
        <v>0</v>
      </c>
      <c r="AB10">
        <f t="shared" si="1"/>
        <v>0</v>
      </c>
    </row>
    <row r="11" spans="1:31" x14ac:dyDescent="0.2">
      <c r="A11" t="s">
        <v>133</v>
      </c>
      <c r="B11">
        <v>3</v>
      </c>
      <c r="C11">
        <v>40</v>
      </c>
      <c r="D11" t="s">
        <v>62</v>
      </c>
      <c r="E11">
        <v>13</v>
      </c>
      <c r="Z11">
        <v>20</v>
      </c>
      <c r="AA11">
        <f t="shared" si="0"/>
        <v>0</v>
      </c>
      <c r="AB11">
        <f t="shared" si="1"/>
        <v>0</v>
      </c>
      <c r="AD11">
        <v>13</v>
      </c>
      <c r="AE11">
        <v>0</v>
      </c>
    </row>
    <row r="12" spans="1:31" x14ac:dyDescent="0.2">
      <c r="A12" t="s">
        <v>122</v>
      </c>
      <c r="B12">
        <v>1</v>
      </c>
      <c r="C12">
        <v>39</v>
      </c>
      <c r="D12" t="s">
        <v>63</v>
      </c>
      <c r="E12">
        <v>14</v>
      </c>
      <c r="Z12">
        <v>20</v>
      </c>
      <c r="AA12">
        <f t="shared" si="0"/>
        <v>0</v>
      </c>
      <c r="AB12">
        <f t="shared" si="1"/>
        <v>0</v>
      </c>
      <c r="AD12">
        <v>14</v>
      </c>
      <c r="AE12">
        <v>0</v>
      </c>
    </row>
    <row r="13" spans="1:31" x14ac:dyDescent="0.2">
      <c r="A13" t="s">
        <v>21</v>
      </c>
      <c r="B13">
        <v>3</v>
      </c>
      <c r="C13">
        <v>23</v>
      </c>
      <c r="D13" t="s">
        <v>62</v>
      </c>
      <c r="E13">
        <v>15</v>
      </c>
      <c r="Z13">
        <v>20</v>
      </c>
      <c r="AA13">
        <f t="shared" si="0"/>
        <v>0</v>
      </c>
      <c r="AB13">
        <f t="shared" si="1"/>
        <v>0</v>
      </c>
      <c r="AD13">
        <v>15</v>
      </c>
      <c r="AE13">
        <v>0</v>
      </c>
    </row>
    <row r="14" spans="1:31" x14ac:dyDescent="0.2">
      <c r="A14" t="s">
        <v>124</v>
      </c>
      <c r="B14">
        <v>2</v>
      </c>
      <c r="C14">
        <v>46</v>
      </c>
      <c r="D14" t="s">
        <v>62</v>
      </c>
      <c r="E14">
        <v>17</v>
      </c>
      <c r="Z14">
        <v>20</v>
      </c>
      <c r="AA14">
        <f t="shared" si="0"/>
        <v>0</v>
      </c>
      <c r="AB14">
        <f t="shared" si="1"/>
        <v>0</v>
      </c>
      <c r="AD14">
        <v>17</v>
      </c>
      <c r="AE14">
        <v>0</v>
      </c>
    </row>
    <row r="15" spans="1:31" x14ac:dyDescent="0.2">
      <c r="A15" t="s">
        <v>18</v>
      </c>
      <c r="B15">
        <v>1</v>
      </c>
      <c r="C15">
        <v>39</v>
      </c>
      <c r="D15" t="s">
        <v>63</v>
      </c>
      <c r="E15">
        <v>17</v>
      </c>
      <c r="Z15">
        <v>20</v>
      </c>
      <c r="AA15">
        <f t="shared" si="0"/>
        <v>0</v>
      </c>
      <c r="AB15">
        <f t="shared" si="1"/>
        <v>0</v>
      </c>
    </row>
    <row r="16" spans="1:31" s="3" customFormat="1" x14ac:dyDescent="0.2">
      <c r="A16" s="3" t="s">
        <v>123</v>
      </c>
      <c r="B16" s="3">
        <v>1</v>
      </c>
      <c r="C16" s="3">
        <v>30</v>
      </c>
      <c r="D16" s="3" t="s">
        <v>62</v>
      </c>
      <c r="E16" s="3">
        <v>19</v>
      </c>
      <c r="Z16" s="3">
        <v>20</v>
      </c>
      <c r="AA16" s="3">
        <f t="shared" si="0"/>
        <v>0</v>
      </c>
      <c r="AB16" s="3">
        <f t="shared" si="1"/>
        <v>0</v>
      </c>
      <c r="AD16" s="3">
        <v>19</v>
      </c>
      <c r="AE16" s="3">
        <v>0</v>
      </c>
    </row>
    <row r="17" spans="1:31" x14ac:dyDescent="0.2">
      <c r="A17" t="s">
        <v>144</v>
      </c>
      <c r="B17">
        <v>2</v>
      </c>
      <c r="C17">
        <v>42</v>
      </c>
      <c r="D17" t="s">
        <v>63</v>
      </c>
      <c r="E17">
        <v>1</v>
      </c>
      <c r="G17">
        <v>1</v>
      </c>
      <c r="N17">
        <v>1</v>
      </c>
      <c r="O17">
        <v>1</v>
      </c>
      <c r="P17">
        <v>1</v>
      </c>
      <c r="S17">
        <v>1</v>
      </c>
      <c r="T17">
        <v>1</v>
      </c>
      <c r="U17">
        <v>1</v>
      </c>
      <c r="V17">
        <v>1</v>
      </c>
      <c r="Z17">
        <v>20</v>
      </c>
      <c r="AA17">
        <f t="shared" si="0"/>
        <v>8</v>
      </c>
      <c r="AB17">
        <f t="shared" si="1"/>
        <v>0.4</v>
      </c>
      <c r="AD17">
        <v>1</v>
      </c>
      <c r="AE17">
        <v>0.4</v>
      </c>
    </row>
    <row r="18" spans="1:31" x14ac:dyDescent="0.2">
      <c r="A18" t="s">
        <v>145</v>
      </c>
      <c r="B18">
        <v>3</v>
      </c>
      <c r="C18">
        <v>1</v>
      </c>
      <c r="D18" t="s">
        <v>63</v>
      </c>
      <c r="E18">
        <v>4</v>
      </c>
      <c r="L18">
        <v>1</v>
      </c>
      <c r="M18">
        <v>1</v>
      </c>
      <c r="R18">
        <v>1</v>
      </c>
      <c r="S18">
        <v>1</v>
      </c>
      <c r="Y18">
        <v>1</v>
      </c>
      <c r="Z18">
        <v>20</v>
      </c>
      <c r="AA18">
        <f t="shared" si="0"/>
        <v>5</v>
      </c>
      <c r="AB18">
        <f t="shared" si="1"/>
        <v>0.25</v>
      </c>
      <c r="AC18">
        <f>SUM(AA17:AA26)/SUM(Z17:Z26)</f>
        <v>6.5000000000000002E-2</v>
      </c>
      <c r="AD18">
        <v>4</v>
      </c>
      <c r="AE18">
        <v>0.25</v>
      </c>
    </row>
    <row r="19" spans="1:31" x14ac:dyDescent="0.2">
      <c r="A19" t="s">
        <v>146</v>
      </c>
      <c r="B19">
        <v>2</v>
      </c>
      <c r="C19">
        <v>1</v>
      </c>
      <c r="D19" t="s">
        <v>62</v>
      </c>
      <c r="E19">
        <v>6</v>
      </c>
      <c r="Z19">
        <v>20</v>
      </c>
      <c r="AA19">
        <f t="shared" si="0"/>
        <v>0</v>
      </c>
      <c r="AB19">
        <f t="shared" si="1"/>
        <v>0</v>
      </c>
      <c r="AD19">
        <v>6</v>
      </c>
      <c r="AE19">
        <v>0</v>
      </c>
    </row>
    <row r="20" spans="1:31" x14ac:dyDescent="0.2">
      <c r="A20" t="s">
        <v>147</v>
      </c>
      <c r="B20">
        <v>2</v>
      </c>
      <c r="C20">
        <v>12</v>
      </c>
      <c r="D20" t="s">
        <v>62</v>
      </c>
      <c r="E20">
        <v>8</v>
      </c>
      <c r="Z20">
        <v>20</v>
      </c>
      <c r="AA20">
        <f t="shared" si="0"/>
        <v>0</v>
      </c>
      <c r="AB20">
        <f t="shared" si="1"/>
        <v>0</v>
      </c>
      <c r="AD20">
        <v>8</v>
      </c>
      <c r="AE20">
        <v>0</v>
      </c>
    </row>
    <row r="21" spans="1:31" x14ac:dyDescent="0.2">
      <c r="A21" t="s">
        <v>148</v>
      </c>
      <c r="B21">
        <v>1</v>
      </c>
      <c r="C21">
        <v>48</v>
      </c>
      <c r="D21" t="s">
        <v>63</v>
      </c>
      <c r="E21">
        <v>9</v>
      </c>
      <c r="Z21">
        <v>20</v>
      </c>
      <c r="AA21">
        <f t="shared" si="0"/>
        <v>0</v>
      </c>
      <c r="AB21">
        <f t="shared" si="1"/>
        <v>0</v>
      </c>
      <c r="AD21">
        <v>9</v>
      </c>
      <c r="AE21">
        <v>0</v>
      </c>
    </row>
    <row r="22" spans="1:31" x14ac:dyDescent="0.2">
      <c r="A22" t="s">
        <v>149</v>
      </c>
      <c r="B22">
        <v>2</v>
      </c>
      <c r="C22">
        <v>2</v>
      </c>
      <c r="D22" t="s">
        <v>62</v>
      </c>
      <c r="E22">
        <v>12</v>
      </c>
      <c r="Z22">
        <v>20</v>
      </c>
      <c r="AA22">
        <f t="shared" si="0"/>
        <v>0</v>
      </c>
      <c r="AB22">
        <f t="shared" si="1"/>
        <v>0</v>
      </c>
      <c r="AD22">
        <v>12</v>
      </c>
      <c r="AE22">
        <v>0</v>
      </c>
    </row>
    <row r="23" spans="1:31" x14ac:dyDescent="0.2">
      <c r="A23" t="s">
        <v>150</v>
      </c>
      <c r="B23">
        <v>2</v>
      </c>
      <c r="C23">
        <v>7</v>
      </c>
      <c r="D23" t="s">
        <v>62</v>
      </c>
      <c r="E23">
        <v>14</v>
      </c>
      <c r="Z23">
        <v>20</v>
      </c>
      <c r="AA23">
        <f t="shared" si="0"/>
        <v>0</v>
      </c>
      <c r="AB23">
        <f t="shared" si="1"/>
        <v>0</v>
      </c>
      <c r="AD23">
        <v>14</v>
      </c>
      <c r="AE23">
        <v>0</v>
      </c>
    </row>
    <row r="24" spans="1:31" x14ac:dyDescent="0.2">
      <c r="A24" t="s">
        <v>151</v>
      </c>
      <c r="B24">
        <v>3</v>
      </c>
      <c r="C24">
        <v>23</v>
      </c>
      <c r="D24" t="s">
        <v>63</v>
      </c>
      <c r="E24">
        <v>15</v>
      </c>
      <c r="Z24">
        <v>20</v>
      </c>
      <c r="AA24">
        <f t="shared" si="0"/>
        <v>0</v>
      </c>
      <c r="AB24">
        <f t="shared" si="1"/>
        <v>0</v>
      </c>
      <c r="AD24">
        <v>15</v>
      </c>
      <c r="AE24">
        <v>0</v>
      </c>
    </row>
    <row r="25" spans="1:31" x14ac:dyDescent="0.2">
      <c r="A25" t="s">
        <v>152</v>
      </c>
      <c r="B25">
        <v>2</v>
      </c>
      <c r="C25">
        <v>5</v>
      </c>
      <c r="D25" t="s">
        <v>62</v>
      </c>
      <c r="E25">
        <v>18</v>
      </c>
      <c r="Z25">
        <v>20</v>
      </c>
      <c r="AA25">
        <f t="shared" si="0"/>
        <v>0</v>
      </c>
      <c r="AB25">
        <f t="shared" si="1"/>
        <v>0</v>
      </c>
      <c r="AD25">
        <v>18</v>
      </c>
      <c r="AE25">
        <v>0</v>
      </c>
    </row>
    <row r="26" spans="1:31" s="3" customFormat="1" x14ac:dyDescent="0.2">
      <c r="A26" s="3" t="s">
        <v>153</v>
      </c>
      <c r="B26" s="3">
        <v>2</v>
      </c>
      <c r="C26" s="3">
        <v>43</v>
      </c>
      <c r="D26" s="3" t="s">
        <v>63</v>
      </c>
      <c r="E26" s="3">
        <v>20</v>
      </c>
      <c r="Z26" s="3">
        <v>20</v>
      </c>
      <c r="AA26" s="3">
        <f t="shared" si="0"/>
        <v>0</v>
      </c>
      <c r="AB26" s="3">
        <f t="shared" si="1"/>
        <v>0</v>
      </c>
      <c r="AD26" s="3">
        <v>20</v>
      </c>
      <c r="AE26" s="3">
        <v>0</v>
      </c>
    </row>
    <row r="27" spans="1:31" x14ac:dyDescent="0.2">
      <c r="A27" t="s">
        <v>135</v>
      </c>
      <c r="B27">
        <v>2</v>
      </c>
      <c r="C27">
        <v>48</v>
      </c>
      <c r="D27" t="s">
        <v>63</v>
      </c>
      <c r="E27">
        <v>2</v>
      </c>
      <c r="Z27">
        <v>20</v>
      </c>
      <c r="AA27">
        <f t="shared" si="0"/>
        <v>0</v>
      </c>
      <c r="AB27">
        <f t="shared" si="1"/>
        <v>0</v>
      </c>
      <c r="AD27">
        <v>2</v>
      </c>
      <c r="AE27">
        <v>0</v>
      </c>
    </row>
    <row r="28" spans="1:31" x14ac:dyDescent="0.2">
      <c r="A28" t="s">
        <v>136</v>
      </c>
      <c r="B28">
        <v>2</v>
      </c>
      <c r="C28">
        <v>2</v>
      </c>
      <c r="D28" t="s">
        <v>62</v>
      </c>
      <c r="E28">
        <v>4</v>
      </c>
      <c r="Z28">
        <v>20</v>
      </c>
      <c r="AA28">
        <f t="shared" si="0"/>
        <v>0</v>
      </c>
      <c r="AB28">
        <f t="shared" si="1"/>
        <v>0</v>
      </c>
      <c r="AC28">
        <v>0</v>
      </c>
      <c r="AD28">
        <v>4</v>
      </c>
    </row>
    <row r="29" spans="1:31" x14ac:dyDescent="0.2">
      <c r="A29" t="s">
        <v>137</v>
      </c>
      <c r="B29">
        <v>1</v>
      </c>
      <c r="C29">
        <v>49</v>
      </c>
      <c r="D29" t="s">
        <v>62</v>
      </c>
      <c r="E29">
        <v>5</v>
      </c>
      <c r="Z29">
        <v>20</v>
      </c>
      <c r="AA29">
        <f t="shared" si="0"/>
        <v>0</v>
      </c>
      <c r="AB29">
        <f t="shared" si="1"/>
        <v>0</v>
      </c>
      <c r="AD29">
        <v>5</v>
      </c>
    </row>
    <row r="30" spans="1:31" x14ac:dyDescent="0.2">
      <c r="A30" t="s">
        <v>138</v>
      </c>
      <c r="B30">
        <v>1</v>
      </c>
      <c r="C30">
        <v>14</v>
      </c>
      <c r="D30" t="s">
        <v>63</v>
      </c>
      <c r="E30">
        <v>7</v>
      </c>
      <c r="Z30">
        <v>20</v>
      </c>
      <c r="AA30">
        <f t="shared" si="0"/>
        <v>0</v>
      </c>
      <c r="AB30">
        <f t="shared" si="1"/>
        <v>0</v>
      </c>
      <c r="AD30">
        <v>7</v>
      </c>
    </row>
    <row r="31" spans="1:31" x14ac:dyDescent="0.2">
      <c r="A31" t="s">
        <v>139</v>
      </c>
      <c r="B31">
        <v>1</v>
      </c>
      <c r="C31">
        <v>41</v>
      </c>
      <c r="D31" t="s">
        <v>63</v>
      </c>
      <c r="E31">
        <v>9</v>
      </c>
      <c r="Z31">
        <v>20</v>
      </c>
      <c r="AA31">
        <f t="shared" si="0"/>
        <v>0</v>
      </c>
      <c r="AB31">
        <f t="shared" si="1"/>
        <v>0</v>
      </c>
      <c r="AD31">
        <v>9</v>
      </c>
    </row>
    <row r="32" spans="1:31" x14ac:dyDescent="0.2">
      <c r="A32" t="s">
        <v>140</v>
      </c>
      <c r="B32">
        <v>3</v>
      </c>
      <c r="C32">
        <v>21</v>
      </c>
      <c r="D32" t="s">
        <v>63</v>
      </c>
      <c r="E32">
        <v>11</v>
      </c>
      <c r="Z32">
        <v>20</v>
      </c>
      <c r="AA32">
        <f t="shared" si="0"/>
        <v>0</v>
      </c>
      <c r="AB32">
        <f t="shared" si="1"/>
        <v>0</v>
      </c>
      <c r="AD32">
        <v>11</v>
      </c>
    </row>
    <row r="33" spans="1:31" x14ac:dyDescent="0.2">
      <c r="A33" t="s">
        <v>141</v>
      </c>
      <c r="B33">
        <v>1</v>
      </c>
      <c r="C33">
        <v>34</v>
      </c>
      <c r="D33" t="s">
        <v>63</v>
      </c>
      <c r="E33">
        <v>14</v>
      </c>
      <c r="Z33">
        <v>20</v>
      </c>
      <c r="AA33">
        <f t="shared" si="0"/>
        <v>0</v>
      </c>
      <c r="AB33">
        <f t="shared" si="1"/>
        <v>0</v>
      </c>
      <c r="AD33">
        <v>14</v>
      </c>
    </row>
    <row r="34" spans="1:31" x14ac:dyDescent="0.2">
      <c r="A34" t="s">
        <v>142</v>
      </c>
      <c r="B34">
        <v>1</v>
      </c>
      <c r="C34">
        <v>21</v>
      </c>
      <c r="D34" t="s">
        <v>62</v>
      </c>
      <c r="E34">
        <v>15</v>
      </c>
      <c r="Z34">
        <v>20</v>
      </c>
      <c r="AA34">
        <f t="shared" ref="AA34:AA65" si="3">SUM(F34:Y34)</f>
        <v>0</v>
      </c>
      <c r="AB34">
        <f t="shared" ref="AB34:AB65" si="4">AA34/Z34</f>
        <v>0</v>
      </c>
      <c r="AD34">
        <v>15</v>
      </c>
    </row>
    <row r="35" spans="1:31" s="3" customFormat="1" x14ac:dyDescent="0.2">
      <c r="A35" s="3" t="s">
        <v>143</v>
      </c>
      <c r="B35" s="3">
        <v>3</v>
      </c>
      <c r="C35" s="3">
        <v>41</v>
      </c>
      <c r="D35" s="3" t="s">
        <v>63</v>
      </c>
      <c r="E35" s="3">
        <v>17</v>
      </c>
      <c r="Z35" s="3">
        <v>20</v>
      </c>
      <c r="AA35" s="3">
        <f t="shared" si="3"/>
        <v>0</v>
      </c>
      <c r="AB35" s="3">
        <f t="shared" si="4"/>
        <v>0</v>
      </c>
      <c r="AD35" s="3">
        <v>17</v>
      </c>
    </row>
    <row r="36" spans="1:31" x14ac:dyDescent="0.2">
      <c r="A36" t="s">
        <v>177</v>
      </c>
      <c r="B36">
        <v>3</v>
      </c>
      <c r="C36">
        <v>39</v>
      </c>
      <c r="D36" t="s">
        <v>63</v>
      </c>
      <c r="E36">
        <v>1</v>
      </c>
      <c r="F36">
        <v>1</v>
      </c>
      <c r="G36">
        <v>1</v>
      </c>
      <c r="J36">
        <v>1</v>
      </c>
      <c r="K36">
        <v>1</v>
      </c>
      <c r="L36">
        <v>1</v>
      </c>
      <c r="N36">
        <v>1</v>
      </c>
      <c r="O36">
        <v>1</v>
      </c>
      <c r="P36">
        <v>1</v>
      </c>
      <c r="R36">
        <v>1</v>
      </c>
      <c r="V36">
        <v>1</v>
      </c>
      <c r="Y36">
        <v>1</v>
      </c>
      <c r="Z36">
        <v>20</v>
      </c>
      <c r="AA36">
        <f t="shared" si="3"/>
        <v>11</v>
      </c>
      <c r="AB36">
        <f t="shared" si="4"/>
        <v>0.55000000000000004</v>
      </c>
    </row>
    <row r="37" spans="1:31" x14ac:dyDescent="0.2">
      <c r="A37" t="s">
        <v>180</v>
      </c>
      <c r="B37">
        <v>3</v>
      </c>
      <c r="C37">
        <v>17</v>
      </c>
      <c r="D37" t="s">
        <v>62</v>
      </c>
      <c r="E37">
        <v>1</v>
      </c>
      <c r="L37">
        <v>1</v>
      </c>
      <c r="R37">
        <v>1</v>
      </c>
      <c r="Y37">
        <v>1</v>
      </c>
      <c r="Z37">
        <v>20</v>
      </c>
      <c r="AA37">
        <f t="shared" si="3"/>
        <v>3</v>
      </c>
      <c r="AB37">
        <f t="shared" si="4"/>
        <v>0.15</v>
      </c>
      <c r="AC37">
        <f>SUM(AA36:AA55)/SUM(Z36:Z55)</f>
        <v>5.7500000000000002E-2</v>
      </c>
      <c r="AD37">
        <v>1</v>
      </c>
      <c r="AE37">
        <f>14/40</f>
        <v>0.35</v>
      </c>
    </row>
    <row r="38" spans="1:31" x14ac:dyDescent="0.2">
      <c r="A38" t="s">
        <v>184</v>
      </c>
      <c r="B38">
        <v>2</v>
      </c>
      <c r="C38">
        <v>25</v>
      </c>
      <c r="D38" t="s">
        <v>63</v>
      </c>
      <c r="E38">
        <v>2</v>
      </c>
      <c r="L38">
        <v>1</v>
      </c>
      <c r="O38">
        <v>1</v>
      </c>
      <c r="R38">
        <v>1</v>
      </c>
      <c r="S38">
        <v>1</v>
      </c>
      <c r="U38">
        <v>1</v>
      </c>
      <c r="Y38">
        <v>1</v>
      </c>
      <c r="Z38">
        <v>20</v>
      </c>
      <c r="AA38">
        <f t="shared" si="3"/>
        <v>6</v>
      </c>
      <c r="AB38">
        <f t="shared" si="4"/>
        <v>0.3</v>
      </c>
      <c r="AD38">
        <v>2</v>
      </c>
      <c r="AE38">
        <v>0.3</v>
      </c>
    </row>
    <row r="39" spans="1:31" x14ac:dyDescent="0.2">
      <c r="A39" t="s">
        <v>181</v>
      </c>
      <c r="B39">
        <v>2</v>
      </c>
      <c r="C39">
        <v>4</v>
      </c>
      <c r="D39" t="s">
        <v>62</v>
      </c>
      <c r="E39">
        <v>3</v>
      </c>
      <c r="Z39">
        <v>20</v>
      </c>
      <c r="AA39">
        <f t="shared" si="3"/>
        <v>0</v>
      </c>
      <c r="AB39">
        <f t="shared" si="4"/>
        <v>0</v>
      </c>
      <c r="AD39">
        <v>3</v>
      </c>
      <c r="AE39">
        <v>0</v>
      </c>
    </row>
    <row r="40" spans="1:31" x14ac:dyDescent="0.2">
      <c r="A40" t="s">
        <v>179</v>
      </c>
      <c r="B40">
        <v>3</v>
      </c>
      <c r="C40">
        <v>5</v>
      </c>
      <c r="D40" t="s">
        <v>63</v>
      </c>
      <c r="E40">
        <v>4</v>
      </c>
      <c r="S40">
        <v>1</v>
      </c>
      <c r="Z40">
        <v>20</v>
      </c>
      <c r="AA40">
        <f t="shared" si="3"/>
        <v>1</v>
      </c>
      <c r="AB40">
        <f t="shared" si="4"/>
        <v>0.05</v>
      </c>
    </row>
    <row r="41" spans="1:31" x14ac:dyDescent="0.2">
      <c r="A41" t="s">
        <v>182</v>
      </c>
      <c r="B41">
        <v>1</v>
      </c>
      <c r="C41">
        <v>44</v>
      </c>
      <c r="D41" t="s">
        <v>63</v>
      </c>
      <c r="E41">
        <v>4</v>
      </c>
      <c r="X41">
        <v>1</v>
      </c>
      <c r="Z41">
        <v>20</v>
      </c>
      <c r="AA41">
        <f t="shared" si="3"/>
        <v>1</v>
      </c>
      <c r="AB41">
        <f t="shared" si="4"/>
        <v>0.05</v>
      </c>
    </row>
    <row r="42" spans="1:31" x14ac:dyDescent="0.2">
      <c r="A42" t="s">
        <v>183</v>
      </c>
      <c r="B42">
        <v>3</v>
      </c>
      <c r="C42">
        <v>48</v>
      </c>
      <c r="D42" t="s">
        <v>63</v>
      </c>
      <c r="E42">
        <v>4</v>
      </c>
      <c r="Z42">
        <v>20</v>
      </c>
      <c r="AA42">
        <f t="shared" si="3"/>
        <v>0</v>
      </c>
      <c r="AB42">
        <f t="shared" si="4"/>
        <v>0</v>
      </c>
    </row>
    <row r="43" spans="1:31" x14ac:dyDescent="0.2">
      <c r="A43" t="s">
        <v>185</v>
      </c>
      <c r="B43">
        <v>1</v>
      </c>
      <c r="C43">
        <v>39</v>
      </c>
      <c r="D43" t="s">
        <v>63</v>
      </c>
      <c r="E43">
        <v>4</v>
      </c>
      <c r="Z43">
        <v>20</v>
      </c>
      <c r="AA43">
        <f t="shared" si="3"/>
        <v>0</v>
      </c>
      <c r="AB43">
        <f t="shared" si="4"/>
        <v>0</v>
      </c>
      <c r="AD43">
        <v>4</v>
      </c>
      <c r="AE43">
        <f>2/80</f>
        <v>2.5000000000000001E-2</v>
      </c>
    </row>
    <row r="44" spans="1:31" x14ac:dyDescent="0.2">
      <c r="A44" t="s">
        <v>178</v>
      </c>
      <c r="B44">
        <v>3</v>
      </c>
      <c r="C44">
        <v>35</v>
      </c>
      <c r="D44" t="s">
        <v>62</v>
      </c>
      <c r="E44">
        <v>5</v>
      </c>
      <c r="Z44">
        <v>20</v>
      </c>
      <c r="AA44">
        <f t="shared" si="3"/>
        <v>0</v>
      </c>
      <c r="AB44">
        <f t="shared" si="4"/>
        <v>0</v>
      </c>
    </row>
    <row r="45" spans="1:31" x14ac:dyDescent="0.2">
      <c r="A45" t="s">
        <v>16</v>
      </c>
      <c r="B45">
        <v>2</v>
      </c>
      <c r="C45">
        <v>17</v>
      </c>
      <c r="D45" t="s">
        <v>62</v>
      </c>
      <c r="E45">
        <v>5</v>
      </c>
      <c r="Z45">
        <v>20</v>
      </c>
      <c r="AA45">
        <f t="shared" si="3"/>
        <v>0</v>
      </c>
      <c r="AB45">
        <f t="shared" si="4"/>
        <v>0</v>
      </c>
      <c r="AD45">
        <v>5</v>
      </c>
      <c r="AE45">
        <v>0</v>
      </c>
    </row>
    <row r="46" spans="1:31" x14ac:dyDescent="0.2">
      <c r="A46" t="s">
        <v>186</v>
      </c>
      <c r="B46">
        <v>2</v>
      </c>
      <c r="C46">
        <v>15</v>
      </c>
      <c r="D46" t="s">
        <v>62</v>
      </c>
      <c r="E46">
        <v>6</v>
      </c>
      <c r="Z46">
        <v>20</v>
      </c>
      <c r="AA46">
        <f t="shared" si="3"/>
        <v>0</v>
      </c>
      <c r="AB46">
        <f t="shared" si="4"/>
        <v>0</v>
      </c>
    </row>
    <row r="47" spans="1:31" x14ac:dyDescent="0.2">
      <c r="A47" t="s">
        <v>13</v>
      </c>
      <c r="B47">
        <v>2</v>
      </c>
      <c r="C47">
        <v>48</v>
      </c>
      <c r="D47" t="s">
        <v>62</v>
      </c>
      <c r="E47">
        <v>6</v>
      </c>
      <c r="Z47">
        <v>20</v>
      </c>
      <c r="AA47">
        <f t="shared" si="3"/>
        <v>0</v>
      </c>
      <c r="AB47">
        <f t="shared" si="4"/>
        <v>0</v>
      </c>
      <c r="AD47">
        <v>6</v>
      </c>
      <c r="AE47">
        <v>0</v>
      </c>
    </row>
    <row r="48" spans="1:31" x14ac:dyDescent="0.2">
      <c r="A48" t="s">
        <v>9</v>
      </c>
      <c r="B48">
        <v>2</v>
      </c>
      <c r="C48">
        <v>25</v>
      </c>
      <c r="D48" t="s">
        <v>63</v>
      </c>
      <c r="E48">
        <v>7</v>
      </c>
      <c r="Z48">
        <v>20</v>
      </c>
      <c r="AA48">
        <f t="shared" si="3"/>
        <v>0</v>
      </c>
      <c r="AB48">
        <f t="shared" si="4"/>
        <v>0</v>
      </c>
    </row>
    <row r="49" spans="1:31" x14ac:dyDescent="0.2">
      <c r="A49" t="s">
        <v>14</v>
      </c>
      <c r="B49">
        <v>2</v>
      </c>
      <c r="C49">
        <v>38</v>
      </c>
      <c r="D49" t="s">
        <v>62</v>
      </c>
      <c r="E49">
        <v>7</v>
      </c>
      <c r="M49">
        <v>1</v>
      </c>
      <c r="Z49">
        <v>20</v>
      </c>
      <c r="AA49">
        <f t="shared" si="3"/>
        <v>1</v>
      </c>
      <c r="AB49">
        <f t="shared" si="4"/>
        <v>0.05</v>
      </c>
      <c r="AD49">
        <v>7</v>
      </c>
      <c r="AE49">
        <f>1/40</f>
        <v>2.5000000000000001E-2</v>
      </c>
    </row>
    <row r="50" spans="1:31" x14ac:dyDescent="0.2">
      <c r="A50" t="s">
        <v>8</v>
      </c>
      <c r="B50">
        <v>2</v>
      </c>
      <c r="C50">
        <v>5</v>
      </c>
      <c r="D50" t="s">
        <v>63</v>
      </c>
      <c r="E50">
        <v>8</v>
      </c>
      <c r="Z50">
        <v>20</v>
      </c>
      <c r="AA50">
        <f t="shared" si="3"/>
        <v>0</v>
      </c>
      <c r="AB50">
        <f t="shared" si="4"/>
        <v>0</v>
      </c>
    </row>
    <row r="51" spans="1:31" x14ac:dyDescent="0.2">
      <c r="A51" t="s">
        <v>12</v>
      </c>
      <c r="B51">
        <v>1</v>
      </c>
      <c r="C51">
        <v>4</v>
      </c>
      <c r="D51" t="s">
        <v>63</v>
      </c>
      <c r="E51">
        <v>8</v>
      </c>
      <c r="Z51">
        <v>20</v>
      </c>
      <c r="AA51">
        <f t="shared" si="3"/>
        <v>0</v>
      </c>
      <c r="AB51">
        <f t="shared" si="4"/>
        <v>0</v>
      </c>
    </row>
    <row r="52" spans="1:31" x14ac:dyDescent="0.2">
      <c r="A52" t="s">
        <v>11</v>
      </c>
      <c r="B52">
        <v>3</v>
      </c>
      <c r="C52">
        <v>48</v>
      </c>
      <c r="D52" t="s">
        <v>62</v>
      </c>
      <c r="E52">
        <v>8</v>
      </c>
      <c r="Z52">
        <v>20</v>
      </c>
      <c r="AA52">
        <f t="shared" si="3"/>
        <v>0</v>
      </c>
      <c r="AB52">
        <f t="shared" si="4"/>
        <v>0</v>
      </c>
    </row>
    <row r="53" spans="1:31" x14ac:dyDescent="0.2">
      <c r="A53" t="s">
        <v>17</v>
      </c>
      <c r="B53">
        <v>2</v>
      </c>
      <c r="C53">
        <v>47</v>
      </c>
      <c r="D53" t="s">
        <v>62</v>
      </c>
      <c r="E53">
        <v>8</v>
      </c>
      <c r="Z53">
        <v>20</v>
      </c>
      <c r="AA53">
        <f t="shared" si="3"/>
        <v>0</v>
      </c>
      <c r="AB53">
        <f t="shared" si="4"/>
        <v>0</v>
      </c>
      <c r="AD53">
        <v>8</v>
      </c>
      <c r="AE53">
        <v>0</v>
      </c>
    </row>
    <row r="54" spans="1:31" x14ac:dyDescent="0.2">
      <c r="A54" t="s">
        <v>15</v>
      </c>
      <c r="B54">
        <v>2</v>
      </c>
      <c r="C54">
        <v>22</v>
      </c>
      <c r="D54" t="s">
        <v>62</v>
      </c>
      <c r="E54">
        <v>9</v>
      </c>
      <c r="Z54">
        <v>20</v>
      </c>
      <c r="AA54">
        <f t="shared" si="3"/>
        <v>0</v>
      </c>
      <c r="AB54">
        <f t="shared" si="4"/>
        <v>0</v>
      </c>
      <c r="AD54">
        <v>9</v>
      </c>
      <c r="AE54">
        <v>0</v>
      </c>
    </row>
    <row r="55" spans="1:31" s="3" customFormat="1" x14ac:dyDescent="0.2">
      <c r="A55" s="3" t="s">
        <v>5</v>
      </c>
      <c r="B55" s="3">
        <v>2</v>
      </c>
      <c r="C55" s="3">
        <v>43</v>
      </c>
      <c r="D55" s="3" t="s">
        <v>63</v>
      </c>
      <c r="E55" s="3">
        <v>10</v>
      </c>
      <c r="Z55" s="3">
        <v>20</v>
      </c>
      <c r="AA55" s="3">
        <f t="shared" si="3"/>
        <v>0</v>
      </c>
      <c r="AB55" s="3">
        <f t="shared" si="4"/>
        <v>0</v>
      </c>
      <c r="AD55" s="3">
        <v>10</v>
      </c>
      <c r="AE55" s="3">
        <v>0</v>
      </c>
    </row>
    <row r="56" spans="1:31" x14ac:dyDescent="0.2">
      <c r="A56" t="s">
        <v>169</v>
      </c>
      <c r="B56">
        <v>3</v>
      </c>
      <c r="C56">
        <v>46</v>
      </c>
      <c r="D56" t="s">
        <v>62</v>
      </c>
      <c r="E56">
        <v>2</v>
      </c>
      <c r="Z56">
        <v>20</v>
      </c>
      <c r="AA56">
        <f t="shared" si="3"/>
        <v>0</v>
      </c>
      <c r="AB56">
        <f t="shared" si="4"/>
        <v>0</v>
      </c>
      <c r="AD56">
        <v>2</v>
      </c>
      <c r="AE56">
        <v>0</v>
      </c>
    </row>
    <row r="57" spans="1:31" x14ac:dyDescent="0.2">
      <c r="A57" t="s">
        <v>165</v>
      </c>
      <c r="B57">
        <v>2</v>
      </c>
      <c r="C57">
        <v>28</v>
      </c>
      <c r="D57" t="s">
        <v>63</v>
      </c>
      <c r="E57">
        <v>4</v>
      </c>
      <c r="Z57">
        <v>20</v>
      </c>
      <c r="AA57">
        <f t="shared" si="3"/>
        <v>0</v>
      </c>
      <c r="AB57">
        <f t="shared" si="4"/>
        <v>0</v>
      </c>
      <c r="AC57">
        <f>SUM(AA56:AA70)/SUM(Z56:Z70)</f>
        <v>1.6666666666666666E-2</v>
      </c>
    </row>
    <row r="58" spans="1:31" x14ac:dyDescent="0.2">
      <c r="A58" t="s">
        <v>168</v>
      </c>
      <c r="B58">
        <v>1</v>
      </c>
      <c r="C58">
        <v>15</v>
      </c>
      <c r="D58" t="s">
        <v>63</v>
      </c>
      <c r="E58">
        <v>4</v>
      </c>
      <c r="Z58">
        <v>20</v>
      </c>
      <c r="AA58">
        <f t="shared" si="3"/>
        <v>0</v>
      </c>
      <c r="AB58">
        <f t="shared" si="4"/>
        <v>0</v>
      </c>
      <c r="AD58">
        <v>4</v>
      </c>
      <c r="AE58">
        <v>0</v>
      </c>
    </row>
    <row r="59" spans="1:31" x14ac:dyDescent="0.2">
      <c r="A59" t="s">
        <v>166</v>
      </c>
      <c r="B59">
        <v>2</v>
      </c>
      <c r="C59">
        <v>26</v>
      </c>
      <c r="D59" t="s">
        <v>62</v>
      </c>
      <c r="E59">
        <v>5</v>
      </c>
      <c r="Z59">
        <v>20</v>
      </c>
      <c r="AA59">
        <f t="shared" si="3"/>
        <v>0</v>
      </c>
      <c r="AB59">
        <f t="shared" si="4"/>
        <v>0</v>
      </c>
      <c r="AE59">
        <v>0</v>
      </c>
    </row>
    <row r="60" spans="1:31" x14ac:dyDescent="0.2">
      <c r="A60" t="s">
        <v>167</v>
      </c>
      <c r="B60">
        <v>3</v>
      </c>
      <c r="C60">
        <v>1</v>
      </c>
      <c r="D60" t="s">
        <v>63</v>
      </c>
      <c r="E60">
        <v>5</v>
      </c>
      <c r="L60">
        <v>1</v>
      </c>
      <c r="M60">
        <v>1</v>
      </c>
      <c r="R60">
        <v>1</v>
      </c>
      <c r="S60">
        <v>1</v>
      </c>
      <c r="Y60">
        <v>1</v>
      </c>
      <c r="Z60">
        <v>20</v>
      </c>
      <c r="AA60">
        <f t="shared" si="3"/>
        <v>5</v>
      </c>
      <c r="AB60">
        <f t="shared" si="4"/>
        <v>0.25</v>
      </c>
      <c r="AD60">
        <v>5</v>
      </c>
      <c r="AE60">
        <v>0.25</v>
      </c>
    </row>
    <row r="61" spans="1:31" x14ac:dyDescent="0.2">
      <c r="A61" t="s">
        <v>172</v>
      </c>
      <c r="B61">
        <v>2</v>
      </c>
      <c r="C61">
        <v>31</v>
      </c>
      <c r="D61" t="s">
        <v>63</v>
      </c>
      <c r="E61">
        <v>7</v>
      </c>
      <c r="Z61">
        <v>20</v>
      </c>
      <c r="AA61">
        <f t="shared" si="3"/>
        <v>0</v>
      </c>
      <c r="AB61">
        <f t="shared" si="4"/>
        <v>0</v>
      </c>
      <c r="AD61">
        <v>7</v>
      </c>
      <c r="AE61">
        <v>0</v>
      </c>
    </row>
    <row r="62" spans="1:31" x14ac:dyDescent="0.2">
      <c r="A62" t="s">
        <v>170</v>
      </c>
      <c r="B62">
        <v>2</v>
      </c>
      <c r="C62">
        <v>34</v>
      </c>
      <c r="D62" t="s">
        <v>62</v>
      </c>
      <c r="E62">
        <v>9</v>
      </c>
      <c r="Z62">
        <v>20</v>
      </c>
      <c r="AA62">
        <f t="shared" si="3"/>
        <v>0</v>
      </c>
      <c r="AB62">
        <f t="shared" si="4"/>
        <v>0</v>
      </c>
      <c r="AD62">
        <v>9</v>
      </c>
      <c r="AE62">
        <v>0</v>
      </c>
    </row>
    <row r="63" spans="1:31" x14ac:dyDescent="0.2">
      <c r="A63" t="s">
        <v>32</v>
      </c>
      <c r="B63">
        <v>1</v>
      </c>
      <c r="C63">
        <v>30</v>
      </c>
      <c r="D63" t="s">
        <v>63</v>
      </c>
      <c r="E63">
        <v>10</v>
      </c>
      <c r="Z63">
        <v>20</v>
      </c>
      <c r="AA63">
        <f t="shared" si="3"/>
        <v>0</v>
      </c>
      <c r="AB63">
        <f t="shared" si="4"/>
        <v>0</v>
      </c>
      <c r="AD63">
        <v>10</v>
      </c>
      <c r="AE63">
        <v>0</v>
      </c>
    </row>
    <row r="64" spans="1:31" x14ac:dyDescent="0.2">
      <c r="A64" t="s">
        <v>173</v>
      </c>
      <c r="B64">
        <v>1</v>
      </c>
      <c r="C64">
        <v>43</v>
      </c>
      <c r="D64" t="s">
        <v>63</v>
      </c>
      <c r="E64">
        <v>11</v>
      </c>
      <c r="Z64">
        <v>20</v>
      </c>
      <c r="AA64">
        <f t="shared" si="3"/>
        <v>0</v>
      </c>
      <c r="AB64">
        <f t="shared" si="4"/>
        <v>0</v>
      </c>
      <c r="AD64">
        <v>11</v>
      </c>
    </row>
    <row r="65" spans="1:31" x14ac:dyDescent="0.2">
      <c r="A65" t="s">
        <v>171</v>
      </c>
      <c r="B65">
        <v>3</v>
      </c>
      <c r="C65">
        <v>7</v>
      </c>
      <c r="D65" t="s">
        <v>62</v>
      </c>
      <c r="E65">
        <v>12</v>
      </c>
      <c r="Z65">
        <v>20</v>
      </c>
      <c r="AA65">
        <f t="shared" si="3"/>
        <v>0</v>
      </c>
      <c r="AB65">
        <f t="shared" si="4"/>
        <v>0</v>
      </c>
      <c r="AD65">
        <v>12</v>
      </c>
    </row>
    <row r="66" spans="1:31" x14ac:dyDescent="0.2">
      <c r="A66" t="s">
        <v>175</v>
      </c>
      <c r="B66">
        <v>1</v>
      </c>
      <c r="C66">
        <v>9</v>
      </c>
      <c r="D66" t="s">
        <v>63</v>
      </c>
      <c r="E66">
        <v>14</v>
      </c>
      <c r="Z66">
        <v>20</v>
      </c>
      <c r="AA66">
        <f t="shared" ref="AA66:AA85" si="5">SUM(F66:Y66)</f>
        <v>0</v>
      </c>
      <c r="AB66">
        <f t="shared" ref="AB66:AB85" si="6">AA66/Z66</f>
        <v>0</v>
      </c>
    </row>
    <row r="67" spans="1:31" x14ac:dyDescent="0.2">
      <c r="A67" t="s">
        <v>40</v>
      </c>
      <c r="B67">
        <v>2</v>
      </c>
      <c r="C67">
        <v>35</v>
      </c>
      <c r="D67" t="s">
        <v>62</v>
      </c>
      <c r="E67">
        <v>15</v>
      </c>
      <c r="Z67">
        <v>20</v>
      </c>
      <c r="AA67">
        <f t="shared" si="5"/>
        <v>0</v>
      </c>
      <c r="AB67">
        <f t="shared" si="6"/>
        <v>0</v>
      </c>
    </row>
    <row r="68" spans="1:31" x14ac:dyDescent="0.2">
      <c r="A68" t="s">
        <v>43</v>
      </c>
      <c r="B68">
        <v>2</v>
      </c>
      <c r="C68">
        <v>38</v>
      </c>
      <c r="D68" t="s">
        <v>187</v>
      </c>
      <c r="E68">
        <v>17</v>
      </c>
      <c r="Z68">
        <v>20</v>
      </c>
      <c r="AA68">
        <f t="shared" si="5"/>
        <v>0</v>
      </c>
      <c r="AB68">
        <f t="shared" si="6"/>
        <v>0</v>
      </c>
    </row>
    <row r="69" spans="1:31" x14ac:dyDescent="0.2">
      <c r="A69" t="s">
        <v>176</v>
      </c>
      <c r="B69">
        <v>1</v>
      </c>
      <c r="C69">
        <v>16</v>
      </c>
      <c r="D69" t="s">
        <v>62</v>
      </c>
      <c r="E69">
        <v>17</v>
      </c>
      <c r="Z69">
        <v>20</v>
      </c>
      <c r="AA69">
        <f t="shared" si="5"/>
        <v>0</v>
      </c>
      <c r="AB69">
        <f t="shared" si="6"/>
        <v>0</v>
      </c>
    </row>
    <row r="70" spans="1:31" s="3" customFormat="1" x14ac:dyDescent="0.2">
      <c r="A70" s="3" t="s">
        <v>174</v>
      </c>
      <c r="B70" s="3">
        <v>2</v>
      </c>
      <c r="C70" s="3">
        <v>26</v>
      </c>
      <c r="D70" s="3" t="s">
        <v>63</v>
      </c>
      <c r="E70" s="3">
        <v>18</v>
      </c>
      <c r="Z70" s="3">
        <v>20</v>
      </c>
      <c r="AA70" s="3">
        <f t="shared" si="5"/>
        <v>0</v>
      </c>
      <c r="AB70" s="3">
        <f t="shared" si="6"/>
        <v>0</v>
      </c>
    </row>
    <row r="71" spans="1:31" x14ac:dyDescent="0.2">
      <c r="A71" t="s">
        <v>154</v>
      </c>
      <c r="B71">
        <v>2</v>
      </c>
      <c r="C71">
        <v>38</v>
      </c>
      <c r="D71" t="s">
        <v>63</v>
      </c>
      <c r="E71">
        <v>1</v>
      </c>
      <c r="Z71">
        <v>20</v>
      </c>
      <c r="AA71">
        <f t="shared" si="5"/>
        <v>0</v>
      </c>
      <c r="AB71">
        <f t="shared" si="6"/>
        <v>0</v>
      </c>
    </row>
    <row r="72" spans="1:31" x14ac:dyDescent="0.2">
      <c r="A72" t="s">
        <v>157</v>
      </c>
      <c r="B72">
        <v>2</v>
      </c>
      <c r="C72">
        <v>13</v>
      </c>
      <c r="D72" t="s">
        <v>63</v>
      </c>
      <c r="E72">
        <v>2</v>
      </c>
      <c r="Z72">
        <v>20</v>
      </c>
      <c r="AA72">
        <f t="shared" si="5"/>
        <v>0</v>
      </c>
      <c r="AB72">
        <f t="shared" si="6"/>
        <v>0</v>
      </c>
      <c r="AC72">
        <v>0</v>
      </c>
      <c r="AE72">
        <v>0</v>
      </c>
    </row>
    <row r="73" spans="1:31" x14ac:dyDescent="0.2">
      <c r="A73" t="s">
        <v>158</v>
      </c>
      <c r="B73">
        <v>3</v>
      </c>
      <c r="C73">
        <v>26</v>
      </c>
      <c r="D73" t="s">
        <v>62</v>
      </c>
      <c r="E73">
        <v>3</v>
      </c>
      <c r="Z73">
        <v>20</v>
      </c>
      <c r="AA73">
        <f t="shared" si="5"/>
        <v>0</v>
      </c>
      <c r="AB73">
        <f t="shared" si="6"/>
        <v>0</v>
      </c>
    </row>
    <row r="74" spans="1:31" x14ac:dyDescent="0.2">
      <c r="A74" t="s">
        <v>155</v>
      </c>
      <c r="B74">
        <v>2</v>
      </c>
      <c r="C74">
        <v>13</v>
      </c>
      <c r="D74" t="s">
        <v>62</v>
      </c>
      <c r="E74">
        <v>4</v>
      </c>
      <c r="Z74">
        <v>20</v>
      </c>
      <c r="AA74">
        <f t="shared" si="5"/>
        <v>0</v>
      </c>
      <c r="AB74">
        <f t="shared" si="6"/>
        <v>0</v>
      </c>
    </row>
    <row r="75" spans="1:31" x14ac:dyDescent="0.2">
      <c r="A75" t="s">
        <v>156</v>
      </c>
      <c r="B75">
        <v>2</v>
      </c>
      <c r="C75">
        <v>8</v>
      </c>
      <c r="D75" t="s">
        <v>63</v>
      </c>
      <c r="E75">
        <v>6</v>
      </c>
      <c r="Z75">
        <v>20</v>
      </c>
      <c r="AA75">
        <f t="shared" si="5"/>
        <v>0</v>
      </c>
      <c r="AB75">
        <f t="shared" si="6"/>
        <v>0</v>
      </c>
    </row>
    <row r="76" spans="1:31" x14ac:dyDescent="0.2">
      <c r="A76" t="s">
        <v>161</v>
      </c>
      <c r="B76">
        <v>2</v>
      </c>
      <c r="C76">
        <v>1</v>
      </c>
      <c r="D76" t="s">
        <v>62</v>
      </c>
      <c r="E76">
        <v>7</v>
      </c>
      <c r="Z76">
        <v>20</v>
      </c>
      <c r="AA76">
        <f t="shared" si="5"/>
        <v>0</v>
      </c>
      <c r="AB76">
        <f t="shared" si="6"/>
        <v>0</v>
      </c>
    </row>
    <row r="77" spans="1:31" x14ac:dyDescent="0.2">
      <c r="A77" t="s">
        <v>163</v>
      </c>
      <c r="B77">
        <v>3</v>
      </c>
      <c r="C77">
        <v>32</v>
      </c>
      <c r="D77" t="s">
        <v>62</v>
      </c>
      <c r="E77">
        <v>8</v>
      </c>
      <c r="Z77">
        <v>20</v>
      </c>
      <c r="AA77">
        <f t="shared" si="5"/>
        <v>0</v>
      </c>
      <c r="AB77">
        <f t="shared" si="6"/>
        <v>0</v>
      </c>
    </row>
    <row r="78" spans="1:31" x14ac:dyDescent="0.2">
      <c r="A78" t="s">
        <v>159</v>
      </c>
      <c r="B78">
        <v>3</v>
      </c>
      <c r="C78">
        <v>37</v>
      </c>
      <c r="D78" t="s">
        <v>63</v>
      </c>
      <c r="E78">
        <v>9</v>
      </c>
      <c r="Z78">
        <v>20</v>
      </c>
      <c r="AA78">
        <f t="shared" si="5"/>
        <v>0</v>
      </c>
      <c r="AB78">
        <f t="shared" si="6"/>
        <v>0</v>
      </c>
    </row>
    <row r="79" spans="1:31" x14ac:dyDescent="0.2">
      <c r="A79" t="s">
        <v>160</v>
      </c>
      <c r="B79">
        <v>1</v>
      </c>
      <c r="C79">
        <v>39</v>
      </c>
      <c r="D79" t="s">
        <v>63</v>
      </c>
      <c r="E79">
        <v>9</v>
      </c>
      <c r="Z79">
        <v>20</v>
      </c>
      <c r="AA79">
        <f t="shared" si="5"/>
        <v>0</v>
      </c>
      <c r="AB79">
        <f t="shared" si="6"/>
        <v>0</v>
      </c>
    </row>
    <row r="80" spans="1:31" x14ac:dyDescent="0.2">
      <c r="A80" t="s">
        <v>162</v>
      </c>
      <c r="B80">
        <v>2</v>
      </c>
      <c r="C80">
        <v>31</v>
      </c>
      <c r="D80" t="s">
        <v>63</v>
      </c>
      <c r="E80">
        <v>12</v>
      </c>
      <c r="Z80">
        <v>20</v>
      </c>
      <c r="AA80">
        <f t="shared" si="5"/>
        <v>0</v>
      </c>
      <c r="AB80">
        <f t="shared" si="6"/>
        <v>0</v>
      </c>
    </row>
    <row r="81" spans="1:28" x14ac:dyDescent="0.2">
      <c r="A81" t="s">
        <v>57</v>
      </c>
      <c r="B81">
        <v>2</v>
      </c>
      <c r="C81">
        <v>26</v>
      </c>
      <c r="D81" t="s">
        <v>62</v>
      </c>
      <c r="E81">
        <v>17</v>
      </c>
      <c r="Z81">
        <v>20</v>
      </c>
      <c r="AA81">
        <f t="shared" si="5"/>
        <v>0</v>
      </c>
      <c r="AB81">
        <f t="shared" si="6"/>
        <v>0</v>
      </c>
    </row>
    <row r="82" spans="1:28" x14ac:dyDescent="0.2">
      <c r="A82" t="s">
        <v>52</v>
      </c>
      <c r="B82">
        <v>3</v>
      </c>
      <c r="C82">
        <v>27</v>
      </c>
      <c r="D82" t="s">
        <v>62</v>
      </c>
      <c r="E82">
        <v>18</v>
      </c>
      <c r="Z82">
        <v>20</v>
      </c>
      <c r="AA82">
        <f t="shared" si="5"/>
        <v>0</v>
      </c>
      <c r="AB82">
        <f t="shared" si="6"/>
        <v>0</v>
      </c>
    </row>
    <row r="83" spans="1:28" x14ac:dyDescent="0.2">
      <c r="A83" t="s">
        <v>164</v>
      </c>
      <c r="B83">
        <v>3</v>
      </c>
      <c r="C83">
        <v>24</v>
      </c>
      <c r="D83" t="s">
        <v>63</v>
      </c>
      <c r="E83">
        <v>18</v>
      </c>
      <c r="Z83">
        <v>20</v>
      </c>
      <c r="AA83">
        <f t="shared" si="5"/>
        <v>0</v>
      </c>
      <c r="AB83">
        <f t="shared" si="6"/>
        <v>0</v>
      </c>
    </row>
    <row r="84" spans="1:28" x14ac:dyDescent="0.2">
      <c r="A84" t="s">
        <v>49</v>
      </c>
      <c r="B84">
        <v>1</v>
      </c>
      <c r="C84">
        <v>40</v>
      </c>
      <c r="D84" t="s">
        <v>63</v>
      </c>
      <c r="E84">
        <v>18</v>
      </c>
      <c r="Z84">
        <v>20</v>
      </c>
      <c r="AA84">
        <f t="shared" si="5"/>
        <v>0</v>
      </c>
      <c r="AB84">
        <f t="shared" si="6"/>
        <v>0</v>
      </c>
    </row>
    <row r="85" spans="1:28" x14ac:dyDescent="0.2">
      <c r="A85" t="s">
        <v>53</v>
      </c>
      <c r="B85">
        <v>1</v>
      </c>
      <c r="C85">
        <v>47</v>
      </c>
      <c r="D85" t="s">
        <v>63</v>
      </c>
      <c r="E85">
        <v>20</v>
      </c>
      <c r="Z85">
        <v>20</v>
      </c>
      <c r="AA85">
        <f t="shared" si="5"/>
        <v>0</v>
      </c>
      <c r="AB85">
        <f t="shared" si="6"/>
        <v>0</v>
      </c>
    </row>
    <row r="87" spans="1:28" x14ac:dyDescent="0.2">
      <c r="A87" t="s">
        <v>196</v>
      </c>
      <c r="C87">
        <f>AVERAGE(K87:Y87)</f>
        <v>17.071428571428573</v>
      </c>
      <c r="K87">
        <v>19</v>
      </c>
      <c r="L87">
        <v>22</v>
      </c>
      <c r="M87">
        <v>17</v>
      </c>
      <c r="N87">
        <v>13</v>
      </c>
      <c r="O87">
        <v>19</v>
      </c>
      <c r="P87">
        <v>17</v>
      </c>
      <c r="Q87">
        <v>12</v>
      </c>
      <c r="R87">
        <v>18</v>
      </c>
      <c r="S87">
        <v>19</v>
      </c>
      <c r="U87">
        <v>17</v>
      </c>
      <c r="V87">
        <v>19</v>
      </c>
      <c r="W87">
        <v>16</v>
      </c>
      <c r="X87">
        <v>15</v>
      </c>
      <c r="Y87">
        <v>16</v>
      </c>
    </row>
    <row r="88" spans="1:28" x14ac:dyDescent="0.2">
      <c r="A88" t="s">
        <v>88</v>
      </c>
      <c r="F88">
        <v>6</v>
      </c>
      <c r="G88">
        <v>12</v>
      </c>
      <c r="J88">
        <v>5</v>
      </c>
      <c r="L88">
        <v>2</v>
      </c>
      <c r="M88">
        <v>5</v>
      </c>
      <c r="N88">
        <v>3</v>
      </c>
      <c r="O88">
        <v>6</v>
      </c>
      <c r="P88">
        <v>3</v>
      </c>
      <c r="R88">
        <v>1</v>
      </c>
      <c r="S88">
        <v>4</v>
      </c>
      <c r="T88">
        <v>3</v>
      </c>
      <c r="U88">
        <v>8</v>
      </c>
      <c r="V88">
        <v>5</v>
      </c>
      <c r="W88">
        <v>7</v>
      </c>
      <c r="Y88">
        <v>2</v>
      </c>
    </row>
  </sheetData>
  <sortState xmlns:xlrd2="http://schemas.microsoft.com/office/spreadsheetml/2017/richdata2" ref="A72:AI85">
    <sortCondition ref="E72:E8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D39" sqref="D39"/>
    </sheetView>
  </sheetViews>
  <sheetFormatPr baseColWidth="10" defaultRowHeight="16" x14ac:dyDescent="0.2"/>
  <cols>
    <col min="1" max="1" width="16.33203125" customWidth="1"/>
  </cols>
  <sheetData>
    <row r="1" spans="1:10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  <c r="G1" t="s">
        <v>192</v>
      </c>
      <c r="H1" t="s">
        <v>193</v>
      </c>
      <c r="I1" t="s">
        <v>194</v>
      </c>
      <c r="J1" t="s">
        <v>112</v>
      </c>
    </row>
    <row r="2" spans="1:10" x14ac:dyDescent="0.2">
      <c r="A2" t="s">
        <v>108</v>
      </c>
      <c r="B2">
        <v>0.60099999999999998</v>
      </c>
      <c r="C2">
        <v>5.8999999999999997E-2</v>
      </c>
      <c r="D2">
        <v>2.2000000000000002</v>
      </c>
      <c r="E2" s="9">
        <v>41501</v>
      </c>
    </row>
    <row r="3" spans="1:10" x14ac:dyDescent="0.2">
      <c r="A3" t="s">
        <v>110</v>
      </c>
      <c r="B3">
        <v>0.45900000000000002</v>
      </c>
      <c r="C3">
        <v>6.5000000000000002E-2</v>
      </c>
      <c r="D3">
        <v>1.6</v>
      </c>
    </row>
    <row r="4" spans="1:10" x14ac:dyDescent="0.2">
      <c r="A4" t="s">
        <v>111</v>
      </c>
      <c r="B4">
        <v>6.8000000000000005E-2</v>
      </c>
      <c r="C4">
        <v>1.0999999999999999E-2</v>
      </c>
      <c r="D4">
        <v>0.56999999999999995</v>
      </c>
      <c r="F4" t="s">
        <v>195</v>
      </c>
    </row>
    <row r="5" spans="1:10" x14ac:dyDescent="0.2">
      <c r="A5" t="s">
        <v>113</v>
      </c>
      <c r="B5">
        <v>0.439</v>
      </c>
      <c r="C5">
        <v>5.1999999999999998E-2</v>
      </c>
      <c r="D5">
        <v>1.7</v>
      </c>
    </row>
    <row r="6" spans="1:10" x14ac:dyDescent="0.2">
      <c r="A6" t="s">
        <v>115</v>
      </c>
      <c r="D6">
        <v>0</v>
      </c>
    </row>
    <row r="7" spans="1:10" x14ac:dyDescent="0.2">
      <c r="A7" t="s">
        <v>116</v>
      </c>
      <c r="D7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S88"/>
  <sheetViews>
    <sheetView workbookViewId="0">
      <pane xSplit="6" ySplit="19" topLeftCell="AF87" activePane="bottomRight" state="frozen"/>
      <selection pane="topRight" activeCell="G1" sqref="G1"/>
      <selection pane="bottomLeft" activeCell="A20" sqref="A20"/>
      <selection pane="bottomRight" activeCell="C88" sqref="C88"/>
    </sheetView>
  </sheetViews>
  <sheetFormatPr baseColWidth="10" defaultRowHeight="16" x14ac:dyDescent="0.2"/>
  <cols>
    <col min="1" max="1" width="7.5" customWidth="1"/>
    <col min="2" max="2" width="8.1640625" customWidth="1"/>
    <col min="3" max="3" width="8.5" customWidth="1"/>
    <col min="4" max="4" width="5.6640625" customWidth="1"/>
    <col min="5" max="5" width="6.5" customWidth="1"/>
    <col min="6" max="6" width="6.6640625" customWidth="1"/>
    <col min="53" max="54" width="8.1640625" customWidth="1"/>
    <col min="55" max="55" width="9.1640625" customWidth="1"/>
    <col min="56" max="56" width="8.6640625" customWidth="1"/>
    <col min="57" max="57" width="6.83203125" customWidth="1"/>
    <col min="59" max="59" width="9" customWidth="1"/>
    <col min="60" max="60" width="8.5" customWidth="1"/>
    <col min="61" max="61" width="9.5" customWidth="1"/>
  </cols>
  <sheetData>
    <row r="1" spans="1:61" x14ac:dyDescent="0.2">
      <c r="A1" t="s">
        <v>0</v>
      </c>
      <c r="B1" s="1" t="s">
        <v>1</v>
      </c>
      <c r="C1" s="1" t="s">
        <v>3</v>
      </c>
      <c r="D1" s="1" t="s">
        <v>2</v>
      </c>
      <c r="E1" t="s">
        <v>134</v>
      </c>
      <c r="F1" s="10">
        <v>52</v>
      </c>
      <c r="G1" s="10">
        <v>53</v>
      </c>
      <c r="H1" s="10">
        <v>54</v>
      </c>
      <c r="I1" s="10">
        <v>55</v>
      </c>
      <c r="J1" s="10">
        <v>56</v>
      </c>
      <c r="K1" s="10">
        <v>57</v>
      </c>
      <c r="L1" s="10">
        <v>58</v>
      </c>
      <c r="M1" s="10">
        <v>59</v>
      </c>
      <c r="N1" s="10">
        <v>61</v>
      </c>
      <c r="O1" s="10">
        <v>62</v>
      </c>
      <c r="P1" s="10">
        <v>63</v>
      </c>
      <c r="Q1" s="10">
        <v>64</v>
      </c>
      <c r="R1" s="10">
        <v>65</v>
      </c>
      <c r="S1" s="10">
        <v>66</v>
      </c>
      <c r="T1" s="10">
        <v>68</v>
      </c>
      <c r="U1" s="10">
        <v>70</v>
      </c>
      <c r="V1" s="10">
        <v>71</v>
      </c>
      <c r="W1" s="10">
        <v>72</v>
      </c>
      <c r="X1" s="10">
        <v>73</v>
      </c>
      <c r="Y1" s="10">
        <v>74</v>
      </c>
      <c r="Z1" s="10">
        <v>75</v>
      </c>
      <c r="AA1" s="10">
        <v>76</v>
      </c>
      <c r="AB1" s="10">
        <v>77</v>
      </c>
      <c r="AC1" s="10">
        <v>78</v>
      </c>
      <c r="AD1" s="10">
        <v>79</v>
      </c>
      <c r="AE1" s="10">
        <v>80</v>
      </c>
      <c r="AF1" s="10">
        <v>81</v>
      </c>
      <c r="AG1" s="10">
        <v>83</v>
      </c>
      <c r="AH1" s="10">
        <v>84</v>
      </c>
      <c r="AI1" s="10">
        <v>86</v>
      </c>
      <c r="AJ1" s="10">
        <v>87</v>
      </c>
      <c r="AK1" s="10">
        <v>88</v>
      </c>
      <c r="AL1" s="10">
        <v>89</v>
      </c>
      <c r="AM1" s="10">
        <v>90</v>
      </c>
      <c r="AN1" s="10">
        <v>91</v>
      </c>
      <c r="AO1" s="10">
        <v>92</v>
      </c>
      <c r="AP1" s="10">
        <v>93</v>
      </c>
      <c r="AQ1" s="10">
        <v>94</v>
      </c>
      <c r="AR1" s="10">
        <v>95</v>
      </c>
      <c r="AS1" s="10">
        <v>96</v>
      </c>
      <c r="AT1" s="10">
        <v>97</v>
      </c>
      <c r="AU1" s="10">
        <v>98</v>
      </c>
      <c r="AV1" s="10">
        <v>99</v>
      </c>
      <c r="AW1" s="10">
        <v>100</v>
      </c>
      <c r="AX1" s="10">
        <v>101</v>
      </c>
      <c r="AY1" s="10">
        <v>102</v>
      </c>
      <c r="AZ1" s="10">
        <v>103</v>
      </c>
      <c r="BA1" t="s">
        <v>100</v>
      </c>
      <c r="BB1" t="s">
        <v>101</v>
      </c>
      <c r="BC1" t="s">
        <v>86</v>
      </c>
      <c r="BD1" s="6" t="s">
        <v>87</v>
      </c>
      <c r="BE1" t="s">
        <v>103</v>
      </c>
      <c r="BF1" t="s">
        <v>104</v>
      </c>
      <c r="BG1" t="s">
        <v>190</v>
      </c>
      <c r="BH1" t="s">
        <v>191</v>
      </c>
      <c r="BI1" t="s">
        <v>188</v>
      </c>
    </row>
    <row r="2" spans="1:61" x14ac:dyDescent="0.2">
      <c r="A2" t="s">
        <v>125</v>
      </c>
      <c r="B2">
        <v>2</v>
      </c>
      <c r="C2">
        <v>20</v>
      </c>
      <c r="D2" t="s">
        <v>62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X2">
        <v>1</v>
      </c>
      <c r="Z2">
        <v>1</v>
      </c>
      <c r="AA2">
        <v>1</v>
      </c>
      <c r="AD2">
        <v>1</v>
      </c>
      <c r="AE2">
        <v>1</v>
      </c>
      <c r="AH2">
        <v>1</v>
      </c>
      <c r="AJ2">
        <v>1</v>
      </c>
      <c r="AK2">
        <v>1</v>
      </c>
      <c r="AM2">
        <v>1</v>
      </c>
      <c r="AO2">
        <v>1</v>
      </c>
      <c r="AP2">
        <v>1</v>
      </c>
      <c r="AR2">
        <v>1</v>
      </c>
      <c r="AS2">
        <v>1</v>
      </c>
      <c r="AU2">
        <v>1</v>
      </c>
      <c r="AW2">
        <v>1</v>
      </c>
      <c r="AX2">
        <v>1</v>
      </c>
      <c r="AY2">
        <v>1</v>
      </c>
      <c r="AZ2">
        <v>1</v>
      </c>
      <c r="BA2">
        <v>47</v>
      </c>
      <c r="BB2">
        <f t="shared" ref="BB2:BB33" si="0">SUM(F2:AZ2)</f>
        <v>34</v>
      </c>
      <c r="BC2">
        <f t="shared" ref="BC2:BC33" si="1">BB2/BA2</f>
        <v>0.72340425531914898</v>
      </c>
      <c r="BE2">
        <v>1</v>
      </c>
      <c r="BF2">
        <f>BC2</f>
        <v>0.72340425531914898</v>
      </c>
      <c r="BG2">
        <v>67</v>
      </c>
      <c r="BH2">
        <f>BB2+'Calibration B1'!AA2</f>
        <v>45</v>
      </c>
      <c r="BI2">
        <f>BH2/BG2</f>
        <v>0.67164179104477617</v>
      </c>
    </row>
    <row r="3" spans="1:61" x14ac:dyDescent="0.2">
      <c r="A3" t="s">
        <v>127</v>
      </c>
      <c r="B3">
        <v>3</v>
      </c>
      <c r="C3">
        <v>22</v>
      </c>
      <c r="D3" t="s">
        <v>63</v>
      </c>
      <c r="E3">
        <v>3</v>
      </c>
      <c r="F3">
        <v>1</v>
      </c>
      <c r="H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W3">
        <v>1</v>
      </c>
      <c r="X3">
        <v>1</v>
      </c>
      <c r="AB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M3">
        <v>1</v>
      </c>
      <c r="AN3">
        <v>1</v>
      </c>
      <c r="AP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Z3">
        <v>1</v>
      </c>
      <c r="BA3">
        <v>47</v>
      </c>
      <c r="BB3">
        <f t="shared" si="0"/>
        <v>34</v>
      </c>
      <c r="BC3">
        <f t="shared" si="1"/>
        <v>0.72340425531914898</v>
      </c>
      <c r="BE3">
        <v>3</v>
      </c>
      <c r="BF3">
        <f>BC3</f>
        <v>0.72340425531914898</v>
      </c>
      <c r="BG3">
        <v>67</v>
      </c>
      <c r="BH3">
        <f>BB3+'Calibration B1'!AA3</f>
        <v>41</v>
      </c>
      <c r="BI3">
        <f t="shared" ref="BI3:BI4" si="2">BH3/BG3</f>
        <v>0.61194029850746268</v>
      </c>
    </row>
    <row r="4" spans="1:61" x14ac:dyDescent="0.2">
      <c r="A4" t="s">
        <v>126</v>
      </c>
      <c r="B4">
        <v>3</v>
      </c>
      <c r="C4">
        <v>29</v>
      </c>
      <c r="D4" t="s">
        <v>62</v>
      </c>
      <c r="E4">
        <v>4</v>
      </c>
      <c r="G4">
        <v>1</v>
      </c>
      <c r="H4">
        <v>1</v>
      </c>
      <c r="K4">
        <v>1</v>
      </c>
      <c r="L4">
        <v>1</v>
      </c>
      <c r="M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V4">
        <v>1</v>
      </c>
      <c r="W4">
        <v>1</v>
      </c>
      <c r="X4">
        <v>1</v>
      </c>
      <c r="Y4">
        <v>1</v>
      </c>
      <c r="Z4">
        <v>1</v>
      </c>
      <c r="AB4">
        <v>1</v>
      </c>
      <c r="AC4">
        <v>1</v>
      </c>
      <c r="AD4">
        <v>1</v>
      </c>
      <c r="AE4">
        <v>1</v>
      </c>
      <c r="AG4">
        <v>1</v>
      </c>
      <c r="AI4">
        <v>1</v>
      </c>
      <c r="AK4">
        <v>1</v>
      </c>
      <c r="AM4">
        <v>1</v>
      </c>
      <c r="AN4">
        <v>1</v>
      </c>
      <c r="AT4">
        <v>1</v>
      </c>
      <c r="AU4">
        <v>1</v>
      </c>
      <c r="AV4">
        <v>1</v>
      </c>
      <c r="AW4">
        <v>1</v>
      </c>
      <c r="BA4">
        <v>47</v>
      </c>
      <c r="BB4">
        <f t="shared" si="0"/>
        <v>29</v>
      </c>
      <c r="BC4">
        <f t="shared" si="1"/>
        <v>0.61702127659574468</v>
      </c>
      <c r="BE4">
        <v>4</v>
      </c>
      <c r="BF4">
        <f>BC4</f>
        <v>0.61702127659574468</v>
      </c>
      <c r="BG4">
        <v>67</v>
      </c>
      <c r="BH4">
        <f>BB4+'Calibration B1'!AA4</f>
        <v>36</v>
      </c>
      <c r="BI4">
        <f t="shared" si="2"/>
        <v>0.53731343283582089</v>
      </c>
    </row>
    <row r="5" spans="1:61" x14ac:dyDescent="0.2">
      <c r="A5" t="s">
        <v>128</v>
      </c>
      <c r="B5">
        <v>2</v>
      </c>
      <c r="C5">
        <v>20</v>
      </c>
      <c r="D5" t="s">
        <v>62</v>
      </c>
      <c r="E5">
        <v>5</v>
      </c>
      <c r="S5">
        <v>1</v>
      </c>
      <c r="V5">
        <v>1</v>
      </c>
      <c r="Z5">
        <v>1</v>
      </c>
      <c r="AD5">
        <v>1</v>
      </c>
      <c r="AH5">
        <v>1</v>
      </c>
      <c r="AK5">
        <v>1</v>
      </c>
      <c r="AM5">
        <v>1</v>
      </c>
      <c r="AP5">
        <v>1</v>
      </c>
      <c r="AW5">
        <v>1</v>
      </c>
      <c r="AX5">
        <v>1</v>
      </c>
      <c r="BA5">
        <v>47</v>
      </c>
      <c r="BB5">
        <f t="shared" si="0"/>
        <v>10</v>
      </c>
      <c r="BC5">
        <f t="shared" si="1"/>
        <v>0.21276595744680851</v>
      </c>
      <c r="BE5">
        <v>5</v>
      </c>
      <c r="BF5">
        <f>SUM(BB5:BB6)/SUM(BA5:BA6)</f>
        <v>0.1276595744680851</v>
      </c>
      <c r="BG5">
        <v>67</v>
      </c>
      <c r="BH5">
        <f>BB5+'Calibration B1'!AA5</f>
        <v>11</v>
      </c>
      <c r="BI5">
        <f>SUM(BH5:BH6)/SUM(BG5:BG6)</f>
        <v>9.7014925373134331E-2</v>
      </c>
    </row>
    <row r="6" spans="1:61" x14ac:dyDescent="0.2">
      <c r="A6" t="s">
        <v>129</v>
      </c>
      <c r="B6">
        <v>1</v>
      </c>
      <c r="C6">
        <v>44</v>
      </c>
      <c r="D6" t="s">
        <v>63</v>
      </c>
      <c r="E6">
        <v>5</v>
      </c>
      <c r="AQ6">
        <v>1</v>
      </c>
      <c r="AY6">
        <v>1</v>
      </c>
      <c r="BA6">
        <v>47</v>
      </c>
      <c r="BB6">
        <f t="shared" si="0"/>
        <v>2</v>
      </c>
      <c r="BC6">
        <f t="shared" si="1"/>
        <v>4.2553191489361701E-2</v>
      </c>
      <c r="BG6">
        <v>67</v>
      </c>
      <c r="BH6">
        <f>BB6+'Calibration B1'!AA6</f>
        <v>2</v>
      </c>
    </row>
    <row r="7" spans="1:61" x14ac:dyDescent="0.2">
      <c r="A7" t="s">
        <v>121</v>
      </c>
      <c r="B7">
        <v>1</v>
      </c>
      <c r="C7">
        <v>20</v>
      </c>
      <c r="D7" t="s">
        <v>63</v>
      </c>
      <c r="E7">
        <v>8</v>
      </c>
      <c r="BA7">
        <v>47</v>
      </c>
      <c r="BB7">
        <f t="shared" si="0"/>
        <v>0</v>
      </c>
      <c r="BC7">
        <f t="shared" si="1"/>
        <v>0</v>
      </c>
      <c r="BE7">
        <v>8</v>
      </c>
      <c r="BF7">
        <f>BC7</f>
        <v>0</v>
      </c>
      <c r="BG7">
        <v>67</v>
      </c>
      <c r="BH7">
        <f>BB7+'Calibration B1'!AA7</f>
        <v>0</v>
      </c>
      <c r="BI7">
        <v>0</v>
      </c>
    </row>
    <row r="8" spans="1:61" x14ac:dyDescent="0.2">
      <c r="A8" t="s">
        <v>131</v>
      </c>
      <c r="B8">
        <v>1</v>
      </c>
      <c r="C8">
        <v>25</v>
      </c>
      <c r="D8" t="s">
        <v>62</v>
      </c>
      <c r="E8">
        <v>9</v>
      </c>
      <c r="BA8">
        <v>47</v>
      </c>
      <c r="BB8">
        <f t="shared" si="0"/>
        <v>0</v>
      </c>
      <c r="BC8">
        <f t="shared" si="1"/>
        <v>0</v>
      </c>
      <c r="BE8">
        <v>9</v>
      </c>
      <c r="BF8">
        <v>0</v>
      </c>
      <c r="BG8">
        <v>67</v>
      </c>
      <c r="BH8">
        <f>BB8+'Calibration B1'!AA8</f>
        <v>0</v>
      </c>
      <c r="BI8">
        <v>0</v>
      </c>
    </row>
    <row r="9" spans="1:61" x14ac:dyDescent="0.2">
      <c r="A9" t="s">
        <v>130</v>
      </c>
      <c r="B9">
        <v>2</v>
      </c>
      <c r="C9">
        <v>8</v>
      </c>
      <c r="D9" t="s">
        <v>62</v>
      </c>
      <c r="E9">
        <v>12</v>
      </c>
      <c r="BA9">
        <v>47</v>
      </c>
      <c r="BB9">
        <f t="shared" si="0"/>
        <v>0</v>
      </c>
      <c r="BC9">
        <f t="shared" si="1"/>
        <v>0</v>
      </c>
      <c r="BE9">
        <v>12</v>
      </c>
      <c r="BF9">
        <v>0</v>
      </c>
      <c r="BG9">
        <v>67</v>
      </c>
      <c r="BH9">
        <f>BB9+'Calibration B1'!AA9</f>
        <v>0</v>
      </c>
      <c r="BI9">
        <v>0</v>
      </c>
    </row>
    <row r="10" spans="1:61" x14ac:dyDescent="0.2">
      <c r="A10" t="s">
        <v>132</v>
      </c>
      <c r="B10">
        <v>2</v>
      </c>
      <c r="C10">
        <v>28</v>
      </c>
      <c r="D10" t="s">
        <v>63</v>
      </c>
      <c r="E10">
        <v>12</v>
      </c>
      <c r="BA10">
        <v>47</v>
      </c>
      <c r="BB10">
        <f t="shared" si="0"/>
        <v>0</v>
      </c>
      <c r="BC10">
        <f t="shared" si="1"/>
        <v>0</v>
      </c>
      <c r="BG10">
        <v>67</v>
      </c>
      <c r="BH10">
        <f>BB10+'Calibration B1'!AA10</f>
        <v>0</v>
      </c>
      <c r="BI10">
        <v>0</v>
      </c>
    </row>
    <row r="11" spans="1:61" x14ac:dyDescent="0.2">
      <c r="A11" t="s">
        <v>133</v>
      </c>
      <c r="B11">
        <v>3</v>
      </c>
      <c r="C11">
        <v>40</v>
      </c>
      <c r="D11" t="s">
        <v>62</v>
      </c>
      <c r="E11">
        <v>13</v>
      </c>
      <c r="BA11">
        <v>47</v>
      </c>
      <c r="BB11">
        <f t="shared" si="0"/>
        <v>0</v>
      </c>
      <c r="BC11">
        <f t="shared" si="1"/>
        <v>0</v>
      </c>
      <c r="BE11">
        <v>13</v>
      </c>
      <c r="BF11">
        <v>0</v>
      </c>
      <c r="BG11">
        <v>67</v>
      </c>
      <c r="BH11">
        <f>BB11+'Calibration B1'!AA11</f>
        <v>0</v>
      </c>
      <c r="BI11">
        <v>0</v>
      </c>
    </row>
    <row r="12" spans="1:61" x14ac:dyDescent="0.2">
      <c r="A12" t="s">
        <v>122</v>
      </c>
      <c r="B12">
        <v>1</v>
      </c>
      <c r="C12">
        <v>39</v>
      </c>
      <c r="D12" t="s">
        <v>63</v>
      </c>
      <c r="E12">
        <v>14</v>
      </c>
      <c r="BA12">
        <v>47</v>
      </c>
      <c r="BB12">
        <f t="shared" si="0"/>
        <v>0</v>
      </c>
      <c r="BC12">
        <f t="shared" si="1"/>
        <v>0</v>
      </c>
      <c r="BE12">
        <v>14</v>
      </c>
      <c r="BF12">
        <v>0</v>
      </c>
      <c r="BG12">
        <v>67</v>
      </c>
      <c r="BH12">
        <f>BB12+'Calibration B1'!AA12</f>
        <v>0</v>
      </c>
      <c r="BI12">
        <v>0</v>
      </c>
    </row>
    <row r="13" spans="1:61" x14ac:dyDescent="0.2">
      <c r="A13" t="s">
        <v>21</v>
      </c>
      <c r="B13">
        <v>3</v>
      </c>
      <c r="C13">
        <v>23</v>
      </c>
      <c r="D13" t="s">
        <v>62</v>
      </c>
      <c r="E13">
        <v>15</v>
      </c>
      <c r="BA13">
        <v>47</v>
      </c>
      <c r="BB13">
        <f t="shared" si="0"/>
        <v>0</v>
      </c>
      <c r="BC13">
        <f t="shared" si="1"/>
        <v>0</v>
      </c>
      <c r="BE13">
        <v>15</v>
      </c>
      <c r="BF13">
        <v>0</v>
      </c>
      <c r="BG13">
        <v>67</v>
      </c>
      <c r="BH13">
        <f>BB13+'Calibration B1'!AA13</f>
        <v>0</v>
      </c>
    </row>
    <row r="14" spans="1:61" x14ac:dyDescent="0.2">
      <c r="A14" t="s">
        <v>124</v>
      </c>
      <c r="B14">
        <v>2</v>
      </c>
      <c r="C14">
        <v>46</v>
      </c>
      <c r="D14" t="s">
        <v>62</v>
      </c>
      <c r="E14">
        <v>17</v>
      </c>
      <c r="BA14">
        <v>47</v>
      </c>
      <c r="BB14">
        <f t="shared" si="0"/>
        <v>0</v>
      </c>
      <c r="BC14">
        <f t="shared" si="1"/>
        <v>0</v>
      </c>
      <c r="BE14">
        <v>17</v>
      </c>
      <c r="BF14">
        <v>0</v>
      </c>
      <c r="BG14">
        <v>67</v>
      </c>
      <c r="BH14">
        <f>BB14+'Calibration B1'!AA14</f>
        <v>0</v>
      </c>
    </row>
    <row r="15" spans="1:61" x14ac:dyDescent="0.2">
      <c r="A15" t="s">
        <v>18</v>
      </c>
      <c r="B15">
        <v>1</v>
      </c>
      <c r="C15">
        <v>39</v>
      </c>
      <c r="D15" t="s">
        <v>63</v>
      </c>
      <c r="E15">
        <v>17</v>
      </c>
      <c r="BA15">
        <v>47</v>
      </c>
      <c r="BB15">
        <f t="shared" si="0"/>
        <v>0</v>
      </c>
      <c r="BC15">
        <f t="shared" si="1"/>
        <v>0</v>
      </c>
      <c r="BD15">
        <f>SUM(BB1:BB15)/SUM(BA1:BA15)</f>
        <v>0.16565349544072949</v>
      </c>
      <c r="BG15">
        <v>67</v>
      </c>
      <c r="BH15">
        <f>BB15+'Calibration B1'!AA15</f>
        <v>0</v>
      </c>
    </row>
    <row r="16" spans="1:61" x14ac:dyDescent="0.2">
      <c r="A16" s="3" t="s">
        <v>123</v>
      </c>
      <c r="B16" s="3">
        <v>1</v>
      </c>
      <c r="C16" s="3">
        <v>30</v>
      </c>
      <c r="D16" s="3" t="s">
        <v>62</v>
      </c>
      <c r="E16" s="3">
        <v>19</v>
      </c>
      <c r="BA16">
        <v>47</v>
      </c>
      <c r="BB16">
        <f t="shared" si="0"/>
        <v>0</v>
      </c>
      <c r="BC16" s="3">
        <f t="shared" si="1"/>
        <v>0</v>
      </c>
      <c r="BD16" s="3"/>
      <c r="BE16" s="3">
        <v>19</v>
      </c>
      <c r="BF16" s="3">
        <v>0</v>
      </c>
      <c r="BG16">
        <v>67</v>
      </c>
      <c r="BH16">
        <f>BB16+'Calibration B1'!AA16</f>
        <v>0</v>
      </c>
    </row>
    <row r="17" spans="1:71" x14ac:dyDescent="0.2">
      <c r="A17" t="s">
        <v>144</v>
      </c>
      <c r="B17">
        <v>2</v>
      </c>
      <c r="C17">
        <v>42</v>
      </c>
      <c r="D17" t="s">
        <v>63</v>
      </c>
      <c r="E17">
        <v>1</v>
      </c>
      <c r="G17">
        <v>1</v>
      </c>
      <c r="H17">
        <v>1</v>
      </c>
      <c r="I17">
        <v>1</v>
      </c>
      <c r="K17">
        <v>1</v>
      </c>
      <c r="M17">
        <v>1</v>
      </c>
      <c r="N17">
        <v>1</v>
      </c>
      <c r="O17">
        <v>1</v>
      </c>
      <c r="P17">
        <v>1</v>
      </c>
      <c r="R17">
        <v>1</v>
      </c>
      <c r="U17">
        <v>1</v>
      </c>
      <c r="V17">
        <v>1</v>
      </c>
      <c r="W17">
        <v>1</v>
      </c>
      <c r="X17">
        <v>1</v>
      </c>
      <c r="AC17">
        <v>1</v>
      </c>
      <c r="AF17">
        <v>1</v>
      </c>
      <c r="AH17">
        <v>1</v>
      </c>
      <c r="AI17">
        <v>1</v>
      </c>
      <c r="AJ17">
        <v>1</v>
      </c>
      <c r="AK17">
        <v>1</v>
      </c>
      <c r="AM17">
        <v>1</v>
      </c>
      <c r="AP17">
        <v>1</v>
      </c>
      <c r="AR17">
        <v>1</v>
      </c>
      <c r="AS17">
        <v>1</v>
      </c>
      <c r="AT17">
        <v>1</v>
      </c>
      <c r="AW17">
        <v>1</v>
      </c>
      <c r="AX17">
        <v>1</v>
      </c>
      <c r="AZ17">
        <v>1</v>
      </c>
      <c r="BA17">
        <v>47</v>
      </c>
      <c r="BB17">
        <f t="shared" si="0"/>
        <v>27</v>
      </c>
      <c r="BC17">
        <f t="shared" si="1"/>
        <v>0.57446808510638303</v>
      </c>
      <c r="BE17">
        <v>1</v>
      </c>
      <c r="BF17">
        <f>BC17</f>
        <v>0.57446808510638303</v>
      </c>
      <c r="BG17">
        <v>67</v>
      </c>
      <c r="BH17">
        <f>BB17+'Calibration B1'!AA17</f>
        <v>35</v>
      </c>
      <c r="BI17">
        <f>BH17/BG17</f>
        <v>0.52238805970149249</v>
      </c>
    </row>
    <row r="18" spans="1:71" x14ac:dyDescent="0.2">
      <c r="A18" t="s">
        <v>145</v>
      </c>
      <c r="B18">
        <v>3</v>
      </c>
      <c r="C18">
        <v>1</v>
      </c>
      <c r="D18" t="s">
        <v>63</v>
      </c>
      <c r="E18">
        <v>4</v>
      </c>
      <c r="K18">
        <v>1</v>
      </c>
      <c r="M18">
        <v>1</v>
      </c>
      <c r="P18">
        <v>1</v>
      </c>
      <c r="R18">
        <v>1</v>
      </c>
      <c r="S18">
        <v>1</v>
      </c>
      <c r="W18">
        <v>1</v>
      </c>
      <c r="Z18">
        <v>1</v>
      </c>
      <c r="AB18">
        <v>1</v>
      </c>
      <c r="AC18">
        <v>1</v>
      </c>
      <c r="AD18">
        <v>1</v>
      </c>
      <c r="AI18">
        <v>1</v>
      </c>
      <c r="AJ18">
        <v>1</v>
      </c>
      <c r="AK18">
        <v>1</v>
      </c>
      <c r="AM18">
        <v>1</v>
      </c>
      <c r="AP18">
        <v>1</v>
      </c>
      <c r="AQ18">
        <v>1</v>
      </c>
      <c r="AU18">
        <v>1</v>
      </c>
      <c r="AW18">
        <v>1</v>
      </c>
      <c r="AX18">
        <v>1</v>
      </c>
      <c r="AY18">
        <v>1</v>
      </c>
      <c r="AZ18">
        <v>1</v>
      </c>
      <c r="BA18">
        <v>47</v>
      </c>
      <c r="BB18">
        <f t="shared" si="0"/>
        <v>21</v>
      </c>
      <c r="BC18">
        <f t="shared" si="1"/>
        <v>0.44680851063829785</v>
      </c>
      <c r="BE18">
        <v>4</v>
      </c>
      <c r="BF18">
        <f>BC18</f>
        <v>0.44680851063829785</v>
      </c>
      <c r="BG18">
        <v>67</v>
      </c>
      <c r="BH18">
        <f>BB18+'Calibration B1'!AA18</f>
        <v>26</v>
      </c>
      <c r="BI18">
        <f t="shared" ref="BI18:BI35" si="3">BH18/BG18</f>
        <v>0.38805970149253732</v>
      </c>
    </row>
    <row r="19" spans="1:71" x14ac:dyDescent="0.2">
      <c r="A19" t="s">
        <v>146</v>
      </c>
      <c r="B19">
        <v>2</v>
      </c>
      <c r="C19">
        <v>1</v>
      </c>
      <c r="D19" t="s">
        <v>62</v>
      </c>
      <c r="E19">
        <v>6</v>
      </c>
      <c r="BA19">
        <v>47</v>
      </c>
      <c r="BB19">
        <f t="shared" si="0"/>
        <v>0</v>
      </c>
      <c r="BC19">
        <f t="shared" si="1"/>
        <v>0</v>
      </c>
      <c r="BE19">
        <v>6</v>
      </c>
      <c r="BF19">
        <v>0</v>
      </c>
      <c r="BG19">
        <v>67</v>
      </c>
      <c r="BH19">
        <f>BB19+'Calibration B1'!AA19</f>
        <v>0</v>
      </c>
      <c r="BI19">
        <f t="shared" si="3"/>
        <v>0</v>
      </c>
    </row>
    <row r="20" spans="1:71" x14ac:dyDescent="0.2">
      <c r="A20" t="s">
        <v>147</v>
      </c>
      <c r="B20">
        <v>2</v>
      </c>
      <c r="C20">
        <v>12</v>
      </c>
      <c r="D20" t="s">
        <v>62</v>
      </c>
      <c r="E20">
        <v>8</v>
      </c>
      <c r="BA20">
        <v>47</v>
      </c>
      <c r="BB20">
        <f t="shared" si="0"/>
        <v>0</v>
      </c>
      <c r="BC20">
        <f t="shared" si="1"/>
        <v>0</v>
      </c>
      <c r="BE20">
        <v>8</v>
      </c>
      <c r="BF20">
        <v>0</v>
      </c>
      <c r="BG20">
        <v>67</v>
      </c>
      <c r="BH20">
        <f>BB20+'Calibration B1'!AA20</f>
        <v>0</v>
      </c>
      <c r="BI20">
        <f t="shared" si="3"/>
        <v>0</v>
      </c>
    </row>
    <row r="21" spans="1:71" x14ac:dyDescent="0.2">
      <c r="A21" t="s">
        <v>148</v>
      </c>
      <c r="B21">
        <v>1</v>
      </c>
      <c r="C21">
        <v>48</v>
      </c>
      <c r="D21" t="s">
        <v>63</v>
      </c>
      <c r="E21">
        <v>9</v>
      </c>
      <c r="BA21">
        <v>47</v>
      </c>
      <c r="BB21">
        <f t="shared" si="0"/>
        <v>0</v>
      </c>
      <c r="BC21">
        <f t="shared" si="1"/>
        <v>0</v>
      </c>
      <c r="BE21">
        <v>9</v>
      </c>
      <c r="BF21">
        <v>0</v>
      </c>
      <c r="BG21">
        <v>67</v>
      </c>
      <c r="BH21">
        <f>BB21+'Calibration B1'!AA21</f>
        <v>0</v>
      </c>
      <c r="BI21">
        <f t="shared" si="3"/>
        <v>0</v>
      </c>
    </row>
    <row r="22" spans="1:71" x14ac:dyDescent="0.2">
      <c r="A22" t="s">
        <v>149</v>
      </c>
      <c r="B22">
        <v>2</v>
      </c>
      <c r="C22">
        <v>2</v>
      </c>
      <c r="D22" t="s">
        <v>62</v>
      </c>
      <c r="E22">
        <v>12</v>
      </c>
      <c r="BA22">
        <v>47</v>
      </c>
      <c r="BB22">
        <f t="shared" si="0"/>
        <v>0</v>
      </c>
      <c r="BC22">
        <f t="shared" si="1"/>
        <v>0</v>
      </c>
      <c r="BE22">
        <v>12</v>
      </c>
      <c r="BF22">
        <v>0</v>
      </c>
      <c r="BG22">
        <v>67</v>
      </c>
      <c r="BH22">
        <f>BB22+'Calibration B1'!AA22</f>
        <v>0</v>
      </c>
      <c r="BI22">
        <f t="shared" si="3"/>
        <v>0</v>
      </c>
    </row>
    <row r="23" spans="1:71" x14ac:dyDescent="0.2">
      <c r="A23" t="s">
        <v>150</v>
      </c>
      <c r="B23">
        <v>2</v>
      </c>
      <c r="C23">
        <v>7</v>
      </c>
      <c r="D23" t="s">
        <v>62</v>
      </c>
      <c r="E23">
        <v>14</v>
      </c>
      <c r="BA23">
        <v>47</v>
      </c>
      <c r="BB23">
        <f t="shared" si="0"/>
        <v>0</v>
      </c>
      <c r="BC23">
        <f t="shared" si="1"/>
        <v>0</v>
      </c>
      <c r="BE23">
        <v>14</v>
      </c>
      <c r="BF23">
        <v>0</v>
      </c>
      <c r="BG23">
        <v>67</v>
      </c>
      <c r="BH23">
        <f>BB23+'Calibration B1'!AA23</f>
        <v>0</v>
      </c>
      <c r="BI23">
        <f t="shared" si="3"/>
        <v>0</v>
      </c>
    </row>
    <row r="24" spans="1:71" x14ac:dyDescent="0.2">
      <c r="A24" t="s">
        <v>151</v>
      </c>
      <c r="B24">
        <v>3</v>
      </c>
      <c r="C24">
        <v>23</v>
      </c>
      <c r="D24" t="s">
        <v>63</v>
      </c>
      <c r="E24">
        <v>15</v>
      </c>
      <c r="BA24">
        <v>47</v>
      </c>
      <c r="BB24">
        <f t="shared" si="0"/>
        <v>0</v>
      </c>
      <c r="BC24">
        <f t="shared" si="1"/>
        <v>0</v>
      </c>
      <c r="BE24">
        <v>15</v>
      </c>
      <c r="BF24">
        <v>0</v>
      </c>
      <c r="BG24">
        <v>67</v>
      </c>
      <c r="BH24">
        <f>BB24+'Calibration B1'!AA24</f>
        <v>0</v>
      </c>
      <c r="BI24">
        <f t="shared" si="3"/>
        <v>0</v>
      </c>
    </row>
    <row r="25" spans="1:71" x14ac:dyDescent="0.2">
      <c r="A25" t="s">
        <v>152</v>
      </c>
      <c r="B25">
        <v>2</v>
      </c>
      <c r="C25">
        <v>5</v>
      </c>
      <c r="D25" t="s">
        <v>62</v>
      </c>
      <c r="E25">
        <v>18</v>
      </c>
      <c r="BA25">
        <v>47</v>
      </c>
      <c r="BB25">
        <f t="shared" si="0"/>
        <v>0</v>
      </c>
      <c r="BC25">
        <f t="shared" si="1"/>
        <v>0</v>
      </c>
      <c r="BE25">
        <v>18</v>
      </c>
      <c r="BF25">
        <v>0</v>
      </c>
      <c r="BG25">
        <v>67</v>
      </c>
      <c r="BH25">
        <f>BB25+'Calibration B1'!AA25</f>
        <v>0</v>
      </c>
      <c r="BI25">
        <f t="shared" si="3"/>
        <v>0</v>
      </c>
    </row>
    <row r="26" spans="1:71" x14ac:dyDescent="0.2">
      <c r="A26" s="3" t="s">
        <v>153</v>
      </c>
      <c r="B26" s="3">
        <v>2</v>
      </c>
      <c r="C26" s="3">
        <v>43</v>
      </c>
      <c r="D26" s="3" t="s">
        <v>63</v>
      </c>
      <c r="E26" s="3">
        <v>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>
        <v>47</v>
      </c>
      <c r="BB26" s="3">
        <f t="shared" si="0"/>
        <v>0</v>
      </c>
      <c r="BC26" s="3">
        <f t="shared" si="1"/>
        <v>0</v>
      </c>
      <c r="BD26" s="3">
        <f>SUM(BB17:BB26)/SUM(BA17:BA26)</f>
        <v>0.10212765957446808</v>
      </c>
      <c r="BE26" s="3">
        <v>20</v>
      </c>
      <c r="BF26" s="3">
        <v>0</v>
      </c>
      <c r="BG26" s="3">
        <v>67</v>
      </c>
      <c r="BH26" s="3">
        <f>BB26+'Calibration B1'!AA26</f>
        <v>0</v>
      </c>
      <c r="BI26" s="3">
        <f t="shared" si="3"/>
        <v>0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x14ac:dyDescent="0.2">
      <c r="A27" t="s">
        <v>135</v>
      </c>
      <c r="B27">
        <v>2</v>
      </c>
      <c r="C27">
        <v>48</v>
      </c>
      <c r="D27" t="s">
        <v>63</v>
      </c>
      <c r="E27">
        <v>2</v>
      </c>
      <c r="AR27">
        <v>1</v>
      </c>
      <c r="BA27">
        <v>47</v>
      </c>
      <c r="BB27">
        <f t="shared" si="0"/>
        <v>1</v>
      </c>
      <c r="BC27">
        <f t="shared" si="1"/>
        <v>2.1276595744680851E-2</v>
      </c>
      <c r="BE27">
        <v>2</v>
      </c>
      <c r="BF27">
        <f>BC27</f>
        <v>2.1276595744680851E-2</v>
      </c>
      <c r="BG27">
        <v>67</v>
      </c>
      <c r="BH27">
        <f>BB27+'Calibration B1'!AA27</f>
        <v>1</v>
      </c>
      <c r="BI27">
        <f t="shared" si="3"/>
        <v>1.4925373134328358E-2</v>
      </c>
    </row>
    <row r="28" spans="1:71" x14ac:dyDescent="0.2">
      <c r="A28" t="s">
        <v>136</v>
      </c>
      <c r="B28">
        <v>2</v>
      </c>
      <c r="C28">
        <v>2</v>
      </c>
      <c r="D28" t="s">
        <v>62</v>
      </c>
      <c r="E28">
        <v>4</v>
      </c>
      <c r="F28">
        <v>1</v>
      </c>
      <c r="U28">
        <v>1</v>
      </c>
      <c r="V28">
        <v>1</v>
      </c>
      <c r="AF28">
        <v>1</v>
      </c>
      <c r="AL28">
        <v>1</v>
      </c>
      <c r="AS28">
        <v>1</v>
      </c>
      <c r="BA28">
        <v>47</v>
      </c>
      <c r="BB28">
        <f t="shared" si="0"/>
        <v>6</v>
      </c>
      <c r="BC28">
        <f t="shared" si="1"/>
        <v>0.1276595744680851</v>
      </c>
      <c r="BE28">
        <v>4</v>
      </c>
      <c r="BF28">
        <f>BC28</f>
        <v>0.1276595744680851</v>
      </c>
      <c r="BG28">
        <v>67</v>
      </c>
      <c r="BH28">
        <f>BB28+'Calibration B1'!AA28</f>
        <v>6</v>
      </c>
      <c r="BI28">
        <f t="shared" si="3"/>
        <v>8.9552238805970144E-2</v>
      </c>
    </row>
    <row r="29" spans="1:71" x14ac:dyDescent="0.2">
      <c r="A29" t="s">
        <v>137</v>
      </c>
      <c r="B29">
        <v>1</v>
      </c>
      <c r="C29">
        <v>49</v>
      </c>
      <c r="D29" t="s">
        <v>62</v>
      </c>
      <c r="E29">
        <v>5</v>
      </c>
      <c r="BA29">
        <v>47</v>
      </c>
      <c r="BB29">
        <f t="shared" si="0"/>
        <v>0</v>
      </c>
      <c r="BC29">
        <f t="shared" si="1"/>
        <v>0</v>
      </c>
      <c r="BE29">
        <v>5</v>
      </c>
      <c r="BF29">
        <v>0</v>
      </c>
      <c r="BG29">
        <v>67</v>
      </c>
      <c r="BH29">
        <f>BB29+'Calibration B1'!AA29</f>
        <v>0</v>
      </c>
      <c r="BI29">
        <f t="shared" si="3"/>
        <v>0</v>
      </c>
    </row>
    <row r="30" spans="1:71" x14ac:dyDescent="0.2">
      <c r="A30" t="s">
        <v>138</v>
      </c>
      <c r="B30">
        <v>1</v>
      </c>
      <c r="C30">
        <v>14</v>
      </c>
      <c r="D30" t="s">
        <v>63</v>
      </c>
      <c r="E30">
        <v>7</v>
      </c>
      <c r="AP30">
        <v>1</v>
      </c>
      <c r="BA30">
        <v>47</v>
      </c>
      <c r="BB30">
        <f t="shared" si="0"/>
        <v>1</v>
      </c>
      <c r="BC30">
        <f t="shared" si="1"/>
        <v>2.1276595744680851E-2</v>
      </c>
      <c r="BE30">
        <v>7</v>
      </c>
      <c r="BF30">
        <f>BC30</f>
        <v>2.1276595744680851E-2</v>
      </c>
      <c r="BG30">
        <v>67</v>
      </c>
      <c r="BH30">
        <f>BB30+'Calibration B1'!AA30</f>
        <v>1</v>
      </c>
      <c r="BI30">
        <f t="shared" si="3"/>
        <v>1.4925373134328358E-2</v>
      </c>
    </row>
    <row r="31" spans="1:71" x14ac:dyDescent="0.2">
      <c r="A31" t="s">
        <v>139</v>
      </c>
      <c r="B31">
        <v>1</v>
      </c>
      <c r="C31">
        <v>41</v>
      </c>
      <c r="D31" t="s">
        <v>63</v>
      </c>
      <c r="E31">
        <v>9</v>
      </c>
      <c r="BA31">
        <v>47</v>
      </c>
      <c r="BB31">
        <f t="shared" si="0"/>
        <v>0</v>
      </c>
      <c r="BC31">
        <f t="shared" si="1"/>
        <v>0</v>
      </c>
      <c r="BE31">
        <v>9</v>
      </c>
      <c r="BG31">
        <v>67</v>
      </c>
      <c r="BH31">
        <f>BB31+'Calibration B1'!AA31</f>
        <v>0</v>
      </c>
      <c r="BI31">
        <f t="shared" si="3"/>
        <v>0</v>
      </c>
    </row>
    <row r="32" spans="1:71" x14ac:dyDescent="0.2">
      <c r="A32" t="s">
        <v>140</v>
      </c>
      <c r="B32">
        <v>3</v>
      </c>
      <c r="C32">
        <v>21</v>
      </c>
      <c r="D32" t="s">
        <v>63</v>
      </c>
      <c r="E32">
        <v>11</v>
      </c>
      <c r="BA32">
        <v>47</v>
      </c>
      <c r="BB32">
        <f t="shared" si="0"/>
        <v>0</v>
      </c>
      <c r="BC32">
        <f t="shared" si="1"/>
        <v>0</v>
      </c>
      <c r="BE32">
        <v>11</v>
      </c>
      <c r="BG32">
        <v>67</v>
      </c>
      <c r="BH32">
        <f>BB32+'Calibration B1'!AA32</f>
        <v>0</v>
      </c>
      <c r="BI32">
        <f t="shared" si="3"/>
        <v>0</v>
      </c>
    </row>
    <row r="33" spans="1:61" x14ac:dyDescent="0.2">
      <c r="A33" t="s">
        <v>141</v>
      </c>
      <c r="B33">
        <v>1</v>
      </c>
      <c r="C33">
        <v>34</v>
      </c>
      <c r="D33" t="s">
        <v>63</v>
      </c>
      <c r="E33">
        <v>14</v>
      </c>
      <c r="BA33">
        <v>47</v>
      </c>
      <c r="BB33">
        <f t="shared" si="0"/>
        <v>0</v>
      </c>
      <c r="BC33">
        <f t="shared" si="1"/>
        <v>0</v>
      </c>
      <c r="BE33">
        <v>14</v>
      </c>
      <c r="BG33">
        <v>67</v>
      </c>
      <c r="BH33">
        <f>BB33+'Calibration B1'!AA33</f>
        <v>0</v>
      </c>
      <c r="BI33">
        <f t="shared" si="3"/>
        <v>0</v>
      </c>
    </row>
    <row r="34" spans="1:61" x14ac:dyDescent="0.2">
      <c r="A34" t="s">
        <v>142</v>
      </c>
      <c r="B34">
        <v>1</v>
      </c>
      <c r="C34">
        <v>21</v>
      </c>
      <c r="D34" t="s">
        <v>62</v>
      </c>
      <c r="E34">
        <v>15</v>
      </c>
      <c r="BA34">
        <v>47</v>
      </c>
      <c r="BB34">
        <f t="shared" ref="BB34:BB65" si="4">SUM(F34:AZ34)</f>
        <v>0</v>
      </c>
      <c r="BC34">
        <f t="shared" ref="BC34:BC65" si="5">BB34/BA34</f>
        <v>0</v>
      </c>
      <c r="BE34">
        <v>15</v>
      </c>
      <c r="BG34">
        <v>67</v>
      </c>
      <c r="BH34">
        <f>BB34+'Calibration B1'!AA34</f>
        <v>0</v>
      </c>
      <c r="BI34">
        <f t="shared" si="3"/>
        <v>0</v>
      </c>
    </row>
    <row r="35" spans="1:61" x14ac:dyDescent="0.2">
      <c r="A35" s="3" t="s">
        <v>143</v>
      </c>
      <c r="B35" s="3">
        <v>3</v>
      </c>
      <c r="C35" s="3">
        <v>41</v>
      </c>
      <c r="D35" s="3" t="s">
        <v>63</v>
      </c>
      <c r="E35" s="3">
        <v>17</v>
      </c>
      <c r="BA35">
        <v>47</v>
      </c>
      <c r="BB35">
        <f t="shared" si="4"/>
        <v>0</v>
      </c>
      <c r="BC35" s="3">
        <f t="shared" si="5"/>
        <v>0</v>
      </c>
      <c r="BD35" s="3">
        <f>SUM(BB27:BB35)/SUM(BA27:BA35)</f>
        <v>1.8912529550827423E-2</v>
      </c>
      <c r="BE35" s="3">
        <v>17</v>
      </c>
      <c r="BF35" s="3"/>
      <c r="BG35" s="3">
        <v>67</v>
      </c>
      <c r="BH35" s="3">
        <f>BB35+'Calibration B1'!AA35</f>
        <v>0</v>
      </c>
      <c r="BI35" s="3">
        <f t="shared" si="3"/>
        <v>0</v>
      </c>
    </row>
    <row r="36" spans="1:61" x14ac:dyDescent="0.2">
      <c r="A36" t="s">
        <v>177</v>
      </c>
      <c r="B36">
        <v>3</v>
      </c>
      <c r="C36">
        <v>39</v>
      </c>
      <c r="D36" t="s">
        <v>63</v>
      </c>
      <c r="E36">
        <v>1</v>
      </c>
      <c r="G36">
        <v>1</v>
      </c>
      <c r="I36">
        <v>1</v>
      </c>
      <c r="J36">
        <v>1</v>
      </c>
      <c r="K36">
        <v>1</v>
      </c>
      <c r="L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H36">
        <v>1</v>
      </c>
      <c r="AK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S36">
        <v>1</v>
      </c>
      <c r="AT36">
        <v>1</v>
      </c>
      <c r="AV36">
        <v>1</v>
      </c>
      <c r="AW36">
        <v>1</v>
      </c>
      <c r="AX36">
        <v>1</v>
      </c>
      <c r="AY36">
        <v>1</v>
      </c>
      <c r="BA36">
        <v>47</v>
      </c>
      <c r="BB36">
        <f t="shared" si="4"/>
        <v>35</v>
      </c>
      <c r="BC36">
        <f t="shared" si="5"/>
        <v>0.74468085106382975</v>
      </c>
      <c r="BG36">
        <v>67</v>
      </c>
      <c r="BH36">
        <f>BB36+'Calibration B1'!AA36</f>
        <v>46</v>
      </c>
    </row>
    <row r="37" spans="1:61" x14ac:dyDescent="0.2">
      <c r="A37" t="s">
        <v>180</v>
      </c>
      <c r="B37">
        <v>3</v>
      </c>
      <c r="C37">
        <v>17</v>
      </c>
      <c r="D37" t="s">
        <v>62</v>
      </c>
      <c r="E37">
        <v>1</v>
      </c>
      <c r="K37">
        <v>1</v>
      </c>
      <c r="N37">
        <v>1</v>
      </c>
      <c r="S37">
        <v>1</v>
      </c>
      <c r="V37">
        <v>1</v>
      </c>
      <c r="X37">
        <v>1</v>
      </c>
      <c r="Y37">
        <v>1</v>
      </c>
      <c r="Z37">
        <v>1</v>
      </c>
      <c r="AC37">
        <v>1</v>
      </c>
      <c r="AD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M37">
        <v>1</v>
      </c>
      <c r="AP37">
        <v>1</v>
      </c>
      <c r="AR37">
        <v>1</v>
      </c>
      <c r="AS37">
        <v>1</v>
      </c>
      <c r="AU37">
        <v>1</v>
      </c>
      <c r="AV37">
        <v>1</v>
      </c>
      <c r="AW37">
        <v>1</v>
      </c>
      <c r="AX37">
        <v>1</v>
      </c>
      <c r="BA37">
        <v>47</v>
      </c>
      <c r="BB37">
        <f t="shared" si="4"/>
        <v>23</v>
      </c>
      <c r="BC37">
        <f t="shared" si="5"/>
        <v>0.48936170212765956</v>
      </c>
      <c r="BE37">
        <v>1</v>
      </c>
      <c r="BF37">
        <f>SUM(BB36:BB37)/SUM(BA36:BA37)</f>
        <v>0.61702127659574468</v>
      </c>
      <c r="BG37">
        <v>67</v>
      </c>
      <c r="BH37">
        <f>BB37+'Calibration B1'!AA37</f>
        <v>26</v>
      </c>
      <c r="BI37">
        <f>SUM(BH36:BH37)/SUM(BG36:BG37)</f>
        <v>0.53731343283582089</v>
      </c>
    </row>
    <row r="38" spans="1:61" x14ac:dyDescent="0.2">
      <c r="A38" t="s">
        <v>184</v>
      </c>
      <c r="B38">
        <v>2</v>
      </c>
      <c r="C38">
        <v>25</v>
      </c>
      <c r="D38" t="s">
        <v>63</v>
      </c>
      <c r="E38">
        <v>2</v>
      </c>
      <c r="G38">
        <v>1</v>
      </c>
      <c r="J38">
        <v>1</v>
      </c>
      <c r="N38">
        <v>1</v>
      </c>
      <c r="O38">
        <v>1</v>
      </c>
      <c r="U38">
        <v>1</v>
      </c>
      <c r="AD38">
        <v>1</v>
      </c>
      <c r="AE38">
        <v>1</v>
      </c>
      <c r="AF38">
        <v>1</v>
      </c>
      <c r="AM38">
        <v>1</v>
      </c>
      <c r="AO38">
        <v>1</v>
      </c>
      <c r="AR38">
        <v>1</v>
      </c>
      <c r="AT38">
        <v>1</v>
      </c>
      <c r="AU38">
        <v>1</v>
      </c>
      <c r="AX38">
        <v>1</v>
      </c>
      <c r="BA38">
        <v>47</v>
      </c>
      <c r="BB38">
        <f t="shared" si="4"/>
        <v>14</v>
      </c>
      <c r="BC38">
        <f t="shared" si="5"/>
        <v>0.2978723404255319</v>
      </c>
      <c r="BE38">
        <v>2</v>
      </c>
      <c r="BF38">
        <f>BC38</f>
        <v>0.2978723404255319</v>
      </c>
      <c r="BG38">
        <v>67</v>
      </c>
      <c r="BH38">
        <f>BB38+'Calibration B1'!AA38</f>
        <v>20</v>
      </c>
      <c r="BI38">
        <f>BH38/BG38</f>
        <v>0.29850746268656714</v>
      </c>
    </row>
    <row r="39" spans="1:61" x14ac:dyDescent="0.2">
      <c r="A39" t="s">
        <v>181</v>
      </c>
      <c r="B39">
        <v>2</v>
      </c>
      <c r="C39">
        <v>4</v>
      </c>
      <c r="D39" t="s">
        <v>62</v>
      </c>
      <c r="E39">
        <v>3</v>
      </c>
      <c r="AD39">
        <v>1</v>
      </c>
      <c r="BA39">
        <v>47</v>
      </c>
      <c r="BB39">
        <f t="shared" si="4"/>
        <v>1</v>
      </c>
      <c r="BC39">
        <f t="shared" si="5"/>
        <v>2.1276595744680851E-2</v>
      </c>
      <c r="BE39">
        <v>3</v>
      </c>
      <c r="BF39">
        <f>BC39</f>
        <v>2.1276595744680851E-2</v>
      </c>
      <c r="BG39">
        <v>67</v>
      </c>
      <c r="BH39">
        <f>BB39+'Calibration B1'!AA39</f>
        <v>1</v>
      </c>
      <c r="BI39">
        <f>BH39/BG39</f>
        <v>1.4925373134328358E-2</v>
      </c>
    </row>
    <row r="40" spans="1:61" x14ac:dyDescent="0.2">
      <c r="A40" t="s">
        <v>179</v>
      </c>
      <c r="B40">
        <v>3</v>
      </c>
      <c r="C40">
        <v>5</v>
      </c>
      <c r="D40" t="s">
        <v>63</v>
      </c>
      <c r="E40">
        <v>4</v>
      </c>
      <c r="BA40">
        <v>47</v>
      </c>
      <c r="BB40">
        <f t="shared" si="4"/>
        <v>0</v>
      </c>
      <c r="BC40">
        <f t="shared" si="5"/>
        <v>0</v>
      </c>
      <c r="BG40">
        <v>67</v>
      </c>
      <c r="BH40">
        <f>BB40+'Calibration B1'!AA40</f>
        <v>1</v>
      </c>
    </row>
    <row r="41" spans="1:61" x14ac:dyDescent="0.2">
      <c r="A41" t="s">
        <v>182</v>
      </c>
      <c r="B41">
        <v>1</v>
      </c>
      <c r="C41">
        <v>44</v>
      </c>
      <c r="D41" t="s">
        <v>63</v>
      </c>
      <c r="E41">
        <v>4</v>
      </c>
      <c r="BA41">
        <v>47</v>
      </c>
      <c r="BB41">
        <f t="shared" si="4"/>
        <v>0</v>
      </c>
      <c r="BC41">
        <f t="shared" si="5"/>
        <v>0</v>
      </c>
      <c r="BG41">
        <v>67</v>
      </c>
      <c r="BH41">
        <f>BB41+'Calibration B1'!AA41</f>
        <v>1</v>
      </c>
    </row>
    <row r="42" spans="1:61" x14ac:dyDescent="0.2">
      <c r="A42" t="s">
        <v>183</v>
      </c>
      <c r="B42">
        <v>3</v>
      </c>
      <c r="C42">
        <v>48</v>
      </c>
      <c r="D42" t="s">
        <v>63</v>
      </c>
      <c r="E42">
        <v>4</v>
      </c>
      <c r="AD42">
        <v>1</v>
      </c>
      <c r="AT42">
        <v>1</v>
      </c>
      <c r="BA42">
        <v>47</v>
      </c>
      <c r="BB42">
        <f t="shared" si="4"/>
        <v>2</v>
      </c>
      <c r="BC42">
        <f t="shared" si="5"/>
        <v>4.2553191489361701E-2</v>
      </c>
      <c r="BG42">
        <v>67</v>
      </c>
      <c r="BH42">
        <f>BB42+'Calibration B1'!AA42</f>
        <v>2</v>
      </c>
    </row>
    <row r="43" spans="1:61" x14ac:dyDescent="0.2">
      <c r="A43" t="s">
        <v>185</v>
      </c>
      <c r="B43">
        <v>1</v>
      </c>
      <c r="C43">
        <v>39</v>
      </c>
      <c r="D43" t="s">
        <v>63</v>
      </c>
      <c r="E43">
        <v>4</v>
      </c>
      <c r="M43">
        <v>1</v>
      </c>
      <c r="BA43">
        <v>47</v>
      </c>
      <c r="BB43">
        <f t="shared" si="4"/>
        <v>1</v>
      </c>
      <c r="BC43">
        <f t="shared" si="5"/>
        <v>2.1276595744680851E-2</v>
      </c>
      <c r="BE43">
        <v>4</v>
      </c>
      <c r="BF43">
        <f>SUM(BB40:BB43)/SUM(BA40:BA43)</f>
        <v>1.5957446808510637E-2</v>
      </c>
      <c r="BG43">
        <v>67</v>
      </c>
      <c r="BH43">
        <f>BB43+'Calibration B1'!AA43</f>
        <v>1</v>
      </c>
      <c r="BI43">
        <f>SUM(BH40:BH43)/SUM(BG40:BG43)</f>
        <v>1.8656716417910446E-2</v>
      </c>
    </row>
    <row r="44" spans="1:61" x14ac:dyDescent="0.2">
      <c r="A44" t="s">
        <v>178</v>
      </c>
      <c r="B44">
        <v>3</v>
      </c>
      <c r="C44">
        <v>35</v>
      </c>
      <c r="D44" t="s">
        <v>62</v>
      </c>
      <c r="E44">
        <v>5</v>
      </c>
      <c r="BA44">
        <v>47</v>
      </c>
      <c r="BB44">
        <f t="shared" si="4"/>
        <v>0</v>
      </c>
      <c r="BC44">
        <f t="shared" si="5"/>
        <v>0</v>
      </c>
      <c r="BG44">
        <v>67</v>
      </c>
      <c r="BH44">
        <f>BB44+'Calibration B1'!AA44</f>
        <v>0</v>
      </c>
    </row>
    <row r="45" spans="1:61" x14ac:dyDescent="0.2">
      <c r="A45" t="s">
        <v>16</v>
      </c>
      <c r="B45">
        <v>2</v>
      </c>
      <c r="C45">
        <v>17</v>
      </c>
      <c r="D45" t="s">
        <v>62</v>
      </c>
      <c r="E45">
        <v>5</v>
      </c>
      <c r="BA45">
        <v>47</v>
      </c>
      <c r="BB45">
        <f t="shared" si="4"/>
        <v>0</v>
      </c>
      <c r="BC45">
        <f t="shared" si="5"/>
        <v>0</v>
      </c>
      <c r="BE45">
        <v>5</v>
      </c>
      <c r="BF45">
        <v>0</v>
      </c>
      <c r="BG45">
        <v>67</v>
      </c>
      <c r="BH45">
        <f>BB45+'Calibration B1'!AA45</f>
        <v>0</v>
      </c>
      <c r="BI45">
        <v>0</v>
      </c>
    </row>
    <row r="46" spans="1:61" x14ac:dyDescent="0.2">
      <c r="A46" t="s">
        <v>186</v>
      </c>
      <c r="B46">
        <v>2</v>
      </c>
      <c r="C46">
        <v>15</v>
      </c>
      <c r="D46" t="s">
        <v>62</v>
      </c>
      <c r="E46">
        <v>6</v>
      </c>
      <c r="BA46">
        <v>47</v>
      </c>
      <c r="BB46">
        <f t="shared" si="4"/>
        <v>0</v>
      </c>
      <c r="BC46">
        <f t="shared" si="5"/>
        <v>0</v>
      </c>
      <c r="BG46">
        <v>67</v>
      </c>
      <c r="BH46">
        <f>BB46+'Calibration B1'!AA46</f>
        <v>0</v>
      </c>
    </row>
    <row r="47" spans="1:61" x14ac:dyDescent="0.2">
      <c r="A47" t="s">
        <v>13</v>
      </c>
      <c r="B47">
        <v>2</v>
      </c>
      <c r="C47">
        <v>48</v>
      </c>
      <c r="D47" t="s">
        <v>62</v>
      </c>
      <c r="E47">
        <v>6</v>
      </c>
      <c r="BA47">
        <v>47</v>
      </c>
      <c r="BB47">
        <f t="shared" si="4"/>
        <v>0</v>
      </c>
      <c r="BC47">
        <f t="shared" si="5"/>
        <v>0</v>
      </c>
      <c r="BE47">
        <v>6</v>
      </c>
      <c r="BF47">
        <v>0</v>
      </c>
      <c r="BG47">
        <v>67</v>
      </c>
      <c r="BH47">
        <f>BB47+'Calibration B1'!AA47</f>
        <v>0</v>
      </c>
      <c r="BI47">
        <v>0</v>
      </c>
    </row>
    <row r="48" spans="1:61" x14ac:dyDescent="0.2">
      <c r="A48" t="s">
        <v>9</v>
      </c>
      <c r="B48">
        <v>2</v>
      </c>
      <c r="C48">
        <v>25</v>
      </c>
      <c r="D48" t="s">
        <v>63</v>
      </c>
      <c r="E48">
        <v>7</v>
      </c>
      <c r="BA48">
        <v>47</v>
      </c>
      <c r="BB48">
        <f t="shared" si="4"/>
        <v>0</v>
      </c>
      <c r="BC48">
        <f t="shared" si="5"/>
        <v>0</v>
      </c>
      <c r="BG48">
        <v>67</v>
      </c>
      <c r="BH48">
        <f>BB48+'Calibration B1'!AA48</f>
        <v>0</v>
      </c>
    </row>
    <row r="49" spans="1:61" x14ac:dyDescent="0.2">
      <c r="A49" t="s">
        <v>14</v>
      </c>
      <c r="B49">
        <v>2</v>
      </c>
      <c r="C49">
        <v>38</v>
      </c>
      <c r="D49" t="s">
        <v>62</v>
      </c>
      <c r="E49">
        <v>7</v>
      </c>
      <c r="BA49">
        <v>47</v>
      </c>
      <c r="BB49">
        <f t="shared" si="4"/>
        <v>0</v>
      </c>
      <c r="BC49">
        <f t="shared" si="5"/>
        <v>0</v>
      </c>
      <c r="BE49">
        <v>7</v>
      </c>
      <c r="BF49">
        <v>0</v>
      </c>
      <c r="BG49">
        <v>67</v>
      </c>
      <c r="BH49">
        <f>BB49+'Calibration B1'!AA49</f>
        <v>1</v>
      </c>
      <c r="BI49">
        <f>SUM(BH48:BH49)/SUM(BG48:BG49)</f>
        <v>7.462686567164179E-3</v>
      </c>
    </row>
    <row r="50" spans="1:61" x14ac:dyDescent="0.2">
      <c r="A50" t="s">
        <v>8</v>
      </c>
      <c r="B50">
        <v>2</v>
      </c>
      <c r="C50">
        <v>5</v>
      </c>
      <c r="D50" t="s">
        <v>63</v>
      </c>
      <c r="E50">
        <v>8</v>
      </c>
      <c r="BA50">
        <v>47</v>
      </c>
      <c r="BB50">
        <f t="shared" si="4"/>
        <v>0</v>
      </c>
      <c r="BC50">
        <f t="shared" si="5"/>
        <v>0</v>
      </c>
      <c r="BG50">
        <v>67</v>
      </c>
      <c r="BH50">
        <f>BB50+'Calibration B1'!AA50</f>
        <v>0</v>
      </c>
    </row>
    <row r="51" spans="1:61" x14ac:dyDescent="0.2">
      <c r="A51" t="s">
        <v>12</v>
      </c>
      <c r="B51">
        <v>1</v>
      </c>
      <c r="C51">
        <v>4</v>
      </c>
      <c r="D51" t="s">
        <v>63</v>
      </c>
      <c r="E51">
        <v>8</v>
      </c>
      <c r="BA51">
        <v>47</v>
      </c>
      <c r="BB51">
        <f t="shared" si="4"/>
        <v>0</v>
      </c>
      <c r="BC51">
        <f t="shared" si="5"/>
        <v>0</v>
      </c>
      <c r="BG51">
        <v>67</v>
      </c>
      <c r="BH51">
        <f>BB51+'Calibration B1'!AA51</f>
        <v>0</v>
      </c>
    </row>
    <row r="52" spans="1:61" x14ac:dyDescent="0.2">
      <c r="A52" t="s">
        <v>11</v>
      </c>
      <c r="B52">
        <v>3</v>
      </c>
      <c r="C52">
        <v>48</v>
      </c>
      <c r="D52" t="s">
        <v>62</v>
      </c>
      <c r="E52">
        <v>8</v>
      </c>
      <c r="BA52">
        <v>47</v>
      </c>
      <c r="BB52">
        <f t="shared" si="4"/>
        <v>0</v>
      </c>
      <c r="BC52">
        <f t="shared" si="5"/>
        <v>0</v>
      </c>
      <c r="BG52">
        <v>67</v>
      </c>
      <c r="BH52">
        <f>BB52+'Calibration B1'!AA52</f>
        <v>0</v>
      </c>
    </row>
    <row r="53" spans="1:61" x14ac:dyDescent="0.2">
      <c r="A53" t="s">
        <v>17</v>
      </c>
      <c r="B53">
        <v>2</v>
      </c>
      <c r="C53">
        <v>47</v>
      </c>
      <c r="D53" t="s">
        <v>62</v>
      </c>
      <c r="E53">
        <v>8</v>
      </c>
      <c r="BA53">
        <v>47</v>
      </c>
      <c r="BB53">
        <f t="shared" si="4"/>
        <v>0</v>
      </c>
      <c r="BC53">
        <f t="shared" si="5"/>
        <v>0</v>
      </c>
      <c r="BE53">
        <v>8</v>
      </c>
      <c r="BF53">
        <v>0</v>
      </c>
      <c r="BG53">
        <v>67</v>
      </c>
      <c r="BH53">
        <f>BB53+'Calibration B1'!AA53</f>
        <v>0</v>
      </c>
      <c r="BI53">
        <v>0</v>
      </c>
    </row>
    <row r="54" spans="1:61" x14ac:dyDescent="0.2">
      <c r="A54" t="s">
        <v>15</v>
      </c>
      <c r="B54">
        <v>2</v>
      </c>
      <c r="C54">
        <v>22</v>
      </c>
      <c r="D54" t="s">
        <v>62</v>
      </c>
      <c r="E54">
        <v>9</v>
      </c>
      <c r="BA54">
        <v>47</v>
      </c>
      <c r="BB54">
        <f t="shared" si="4"/>
        <v>0</v>
      </c>
      <c r="BC54">
        <f t="shared" si="5"/>
        <v>0</v>
      </c>
      <c r="BD54">
        <f>SUM(BB42:BB54)/SUM(BA42:BA54)</f>
        <v>4.9099836333878887E-3</v>
      </c>
      <c r="BE54">
        <v>9</v>
      </c>
      <c r="BF54">
        <v>0</v>
      </c>
      <c r="BG54">
        <v>67</v>
      </c>
      <c r="BH54">
        <f>BB54+'Calibration B1'!AA54</f>
        <v>0</v>
      </c>
      <c r="BI54">
        <v>0</v>
      </c>
    </row>
    <row r="55" spans="1:61" x14ac:dyDescent="0.2">
      <c r="A55" s="3" t="s">
        <v>5</v>
      </c>
      <c r="B55" s="3">
        <v>2</v>
      </c>
      <c r="C55" s="3">
        <v>43</v>
      </c>
      <c r="D55" s="3" t="s">
        <v>63</v>
      </c>
      <c r="E55" s="3">
        <v>10</v>
      </c>
      <c r="BA55">
        <v>47</v>
      </c>
      <c r="BB55">
        <f t="shared" si="4"/>
        <v>0</v>
      </c>
      <c r="BC55" s="3">
        <f t="shared" si="5"/>
        <v>0</v>
      </c>
      <c r="BD55" s="3"/>
      <c r="BE55" s="3">
        <v>10</v>
      </c>
      <c r="BF55" s="3">
        <v>0</v>
      </c>
      <c r="BG55" s="3">
        <v>67</v>
      </c>
      <c r="BH55" s="3">
        <f>BB55+'Calibration B1'!AA55</f>
        <v>0</v>
      </c>
      <c r="BI55" s="3">
        <v>0</v>
      </c>
    </row>
    <row r="56" spans="1:61" x14ac:dyDescent="0.2">
      <c r="A56" t="s">
        <v>169</v>
      </c>
      <c r="B56">
        <v>3</v>
      </c>
      <c r="C56">
        <v>46</v>
      </c>
      <c r="D56" t="s">
        <v>62</v>
      </c>
      <c r="E56">
        <v>2</v>
      </c>
      <c r="P56">
        <v>1</v>
      </c>
      <c r="W56">
        <v>1</v>
      </c>
      <c r="AH56">
        <v>1</v>
      </c>
      <c r="AP56">
        <v>1</v>
      </c>
      <c r="AX56">
        <v>1</v>
      </c>
      <c r="BA56">
        <v>47</v>
      </c>
      <c r="BB56">
        <f t="shared" si="4"/>
        <v>5</v>
      </c>
      <c r="BC56">
        <f t="shared" si="5"/>
        <v>0.10638297872340426</v>
      </c>
      <c r="BE56">
        <v>2</v>
      </c>
      <c r="BF56">
        <f>BC56</f>
        <v>0.10638297872340426</v>
      </c>
      <c r="BG56">
        <v>67</v>
      </c>
      <c r="BH56">
        <f>BB56+'Calibration B1'!AA56</f>
        <v>5</v>
      </c>
      <c r="BI56">
        <f>BH56/BG56</f>
        <v>7.4626865671641784E-2</v>
      </c>
    </row>
    <row r="57" spans="1:61" x14ac:dyDescent="0.2">
      <c r="A57" t="s">
        <v>165</v>
      </c>
      <c r="B57">
        <v>2</v>
      </c>
      <c r="C57">
        <v>28</v>
      </c>
      <c r="D57" t="s">
        <v>63</v>
      </c>
      <c r="E57">
        <v>4</v>
      </c>
      <c r="BA57">
        <v>47</v>
      </c>
      <c r="BB57">
        <f t="shared" si="4"/>
        <v>0</v>
      </c>
      <c r="BC57">
        <f t="shared" si="5"/>
        <v>0</v>
      </c>
      <c r="BG57">
        <v>67</v>
      </c>
      <c r="BH57">
        <f>BB57+'Calibration B1'!AA57</f>
        <v>0</v>
      </c>
    </row>
    <row r="58" spans="1:61" x14ac:dyDescent="0.2">
      <c r="A58" t="s">
        <v>168</v>
      </c>
      <c r="B58">
        <v>1</v>
      </c>
      <c r="C58">
        <v>15</v>
      </c>
      <c r="D58" t="s">
        <v>63</v>
      </c>
      <c r="E58">
        <v>4</v>
      </c>
      <c r="BA58">
        <v>47</v>
      </c>
      <c r="BB58">
        <f t="shared" si="4"/>
        <v>0</v>
      </c>
      <c r="BC58">
        <f t="shared" si="5"/>
        <v>0</v>
      </c>
      <c r="BE58">
        <v>4</v>
      </c>
      <c r="BF58">
        <v>0</v>
      </c>
      <c r="BG58">
        <v>67</v>
      </c>
      <c r="BH58">
        <f>BB58+'Calibration B1'!AA58</f>
        <v>0</v>
      </c>
      <c r="BI58">
        <f>SUM(BH57:BH58)/SUM(BG57:BG58)</f>
        <v>0</v>
      </c>
    </row>
    <row r="59" spans="1:61" x14ac:dyDescent="0.2">
      <c r="A59" t="s">
        <v>166</v>
      </c>
      <c r="B59">
        <v>2</v>
      </c>
      <c r="C59">
        <v>26</v>
      </c>
      <c r="D59" t="s">
        <v>62</v>
      </c>
      <c r="E59">
        <v>5</v>
      </c>
      <c r="BA59">
        <v>47</v>
      </c>
      <c r="BB59">
        <f t="shared" si="4"/>
        <v>0</v>
      </c>
      <c r="BC59">
        <f t="shared" si="5"/>
        <v>0</v>
      </c>
      <c r="BF59">
        <v>0</v>
      </c>
      <c r="BG59">
        <v>67</v>
      </c>
      <c r="BH59">
        <f>BB59+'Calibration B1'!AA59</f>
        <v>0</v>
      </c>
    </row>
    <row r="60" spans="1:61" x14ac:dyDescent="0.2">
      <c r="A60" t="s">
        <v>167</v>
      </c>
      <c r="B60">
        <v>3</v>
      </c>
      <c r="C60">
        <v>1</v>
      </c>
      <c r="D60" t="s">
        <v>63</v>
      </c>
      <c r="E60">
        <v>5</v>
      </c>
      <c r="K60">
        <v>1</v>
      </c>
      <c r="S60">
        <v>1</v>
      </c>
      <c r="Z60">
        <v>1</v>
      </c>
      <c r="AD60">
        <v>1</v>
      </c>
      <c r="AK60">
        <v>1</v>
      </c>
      <c r="AR60">
        <v>1</v>
      </c>
      <c r="AW60">
        <v>1</v>
      </c>
      <c r="BA60">
        <v>47</v>
      </c>
      <c r="BB60">
        <f t="shared" si="4"/>
        <v>7</v>
      </c>
      <c r="BC60">
        <f t="shared" si="5"/>
        <v>0.14893617021276595</v>
      </c>
      <c r="BE60">
        <v>5</v>
      </c>
      <c r="BF60">
        <f>SUM(BB59:BB60)/SUM(BA59:BA60)</f>
        <v>7.4468085106382975E-2</v>
      </c>
      <c r="BG60">
        <v>67</v>
      </c>
      <c r="BH60">
        <f>BB60+'Calibration B1'!AA60</f>
        <v>12</v>
      </c>
      <c r="BI60">
        <f>SUM(BH59:BH60)/SUM(BG59:BG60)</f>
        <v>8.9552238805970144E-2</v>
      </c>
    </row>
    <row r="61" spans="1:61" x14ac:dyDescent="0.2">
      <c r="A61" t="s">
        <v>172</v>
      </c>
      <c r="B61">
        <v>2</v>
      </c>
      <c r="C61">
        <v>31</v>
      </c>
      <c r="D61" t="s">
        <v>63</v>
      </c>
      <c r="E61">
        <v>7</v>
      </c>
      <c r="BA61">
        <v>47</v>
      </c>
      <c r="BB61">
        <f t="shared" si="4"/>
        <v>0</v>
      </c>
      <c r="BC61">
        <f t="shared" si="5"/>
        <v>0</v>
      </c>
      <c r="BE61">
        <v>7</v>
      </c>
      <c r="BF61">
        <v>0</v>
      </c>
      <c r="BG61">
        <v>67</v>
      </c>
      <c r="BH61">
        <f>BB61+'Calibration B1'!AA61</f>
        <v>0</v>
      </c>
      <c r="BI61">
        <v>0</v>
      </c>
    </row>
    <row r="62" spans="1:61" x14ac:dyDescent="0.2">
      <c r="A62" t="s">
        <v>170</v>
      </c>
      <c r="B62">
        <v>2</v>
      </c>
      <c r="C62">
        <v>34</v>
      </c>
      <c r="D62" t="s">
        <v>62</v>
      </c>
      <c r="E62">
        <v>9</v>
      </c>
      <c r="BA62">
        <v>47</v>
      </c>
      <c r="BB62">
        <f t="shared" si="4"/>
        <v>0</v>
      </c>
      <c r="BC62">
        <f t="shared" si="5"/>
        <v>0</v>
      </c>
      <c r="BE62">
        <v>9</v>
      </c>
      <c r="BF62">
        <v>0</v>
      </c>
      <c r="BG62">
        <v>67</v>
      </c>
      <c r="BH62">
        <f>BB62+'Calibration B1'!AA62</f>
        <v>0</v>
      </c>
      <c r="BI62">
        <v>0</v>
      </c>
    </row>
    <row r="63" spans="1:61" x14ac:dyDescent="0.2">
      <c r="A63" t="s">
        <v>32</v>
      </c>
      <c r="B63">
        <v>1</v>
      </c>
      <c r="C63">
        <v>30</v>
      </c>
      <c r="D63" t="s">
        <v>63</v>
      </c>
      <c r="E63">
        <v>10</v>
      </c>
      <c r="BA63">
        <v>47</v>
      </c>
      <c r="BB63">
        <f t="shared" si="4"/>
        <v>0</v>
      </c>
      <c r="BC63">
        <f t="shared" si="5"/>
        <v>0</v>
      </c>
      <c r="BE63">
        <v>10</v>
      </c>
      <c r="BF63">
        <v>0</v>
      </c>
      <c r="BG63">
        <v>67</v>
      </c>
      <c r="BH63">
        <f>BB63+'Calibration B1'!AA63</f>
        <v>0</v>
      </c>
      <c r="BI63">
        <v>0</v>
      </c>
    </row>
    <row r="64" spans="1:61" x14ac:dyDescent="0.2">
      <c r="A64" t="s">
        <v>173</v>
      </c>
      <c r="B64">
        <v>1</v>
      </c>
      <c r="C64">
        <v>43</v>
      </c>
      <c r="D64" t="s">
        <v>63</v>
      </c>
      <c r="E64">
        <v>11</v>
      </c>
      <c r="BA64">
        <v>47</v>
      </c>
      <c r="BB64">
        <f t="shared" si="4"/>
        <v>0</v>
      </c>
      <c r="BC64">
        <f t="shared" si="5"/>
        <v>0</v>
      </c>
      <c r="BE64">
        <v>11</v>
      </c>
      <c r="BG64">
        <v>67</v>
      </c>
      <c r="BH64">
        <f>BB64+'Calibration B1'!AA64</f>
        <v>0</v>
      </c>
      <c r="BI64">
        <v>0</v>
      </c>
    </row>
    <row r="65" spans="1:61" x14ac:dyDescent="0.2">
      <c r="A65" t="s">
        <v>171</v>
      </c>
      <c r="B65">
        <v>3</v>
      </c>
      <c r="C65">
        <v>7</v>
      </c>
      <c r="D65" t="s">
        <v>62</v>
      </c>
      <c r="E65">
        <v>12</v>
      </c>
      <c r="W65">
        <v>1</v>
      </c>
      <c r="BA65">
        <v>47</v>
      </c>
      <c r="BB65">
        <f t="shared" si="4"/>
        <v>1</v>
      </c>
      <c r="BC65">
        <f t="shared" si="5"/>
        <v>2.1276595744680851E-2</v>
      </c>
      <c r="BE65">
        <v>12</v>
      </c>
      <c r="BG65">
        <v>67</v>
      </c>
      <c r="BH65">
        <f>BB65+'Calibration B1'!AA65</f>
        <v>1</v>
      </c>
      <c r="BI65">
        <f>BH65/BG65</f>
        <v>1.4925373134328358E-2</v>
      </c>
    </row>
    <row r="66" spans="1:61" x14ac:dyDescent="0.2">
      <c r="A66" t="s">
        <v>175</v>
      </c>
      <c r="B66">
        <v>1</v>
      </c>
      <c r="C66">
        <v>9</v>
      </c>
      <c r="D66" t="s">
        <v>63</v>
      </c>
      <c r="E66">
        <v>14</v>
      </c>
      <c r="BA66">
        <v>47</v>
      </c>
      <c r="BB66">
        <f t="shared" ref="BB66:BB85" si="6">SUM(F66:AZ66)</f>
        <v>0</v>
      </c>
      <c r="BC66">
        <f t="shared" ref="BC66:BC85" si="7">BB66/BA66</f>
        <v>0</v>
      </c>
      <c r="BE66">
        <v>14</v>
      </c>
      <c r="BG66">
        <v>67</v>
      </c>
      <c r="BH66">
        <f>BB66+'Calibration B1'!AA66</f>
        <v>0</v>
      </c>
      <c r="BI66">
        <v>0</v>
      </c>
    </row>
    <row r="67" spans="1:61" x14ac:dyDescent="0.2">
      <c r="A67" t="s">
        <v>40</v>
      </c>
      <c r="B67">
        <v>2</v>
      </c>
      <c r="C67">
        <v>35</v>
      </c>
      <c r="D67" t="s">
        <v>62</v>
      </c>
      <c r="E67">
        <v>15</v>
      </c>
      <c r="BA67">
        <v>47</v>
      </c>
      <c r="BB67">
        <f t="shared" si="6"/>
        <v>0</v>
      </c>
      <c r="BC67">
        <f t="shared" si="7"/>
        <v>0</v>
      </c>
      <c r="BE67">
        <v>15</v>
      </c>
      <c r="BG67">
        <v>67</v>
      </c>
      <c r="BH67">
        <f>BB67+'Calibration B1'!AA67</f>
        <v>0</v>
      </c>
      <c r="BI67">
        <v>0</v>
      </c>
    </row>
    <row r="68" spans="1:61" x14ac:dyDescent="0.2">
      <c r="A68" t="s">
        <v>43</v>
      </c>
      <c r="B68">
        <v>2</v>
      </c>
      <c r="C68">
        <v>38</v>
      </c>
      <c r="D68" t="s">
        <v>62</v>
      </c>
      <c r="E68">
        <v>17</v>
      </c>
      <c r="BA68">
        <v>47</v>
      </c>
      <c r="BB68">
        <f t="shared" si="6"/>
        <v>0</v>
      </c>
      <c r="BC68">
        <f t="shared" si="7"/>
        <v>0</v>
      </c>
      <c r="BG68">
        <v>67</v>
      </c>
      <c r="BH68">
        <f>BB68+'Calibration B1'!AA68</f>
        <v>0</v>
      </c>
    </row>
    <row r="69" spans="1:61" x14ac:dyDescent="0.2">
      <c r="A69" t="s">
        <v>176</v>
      </c>
      <c r="B69">
        <v>1</v>
      </c>
      <c r="C69">
        <v>16</v>
      </c>
      <c r="D69" t="s">
        <v>62</v>
      </c>
      <c r="E69">
        <v>17</v>
      </c>
      <c r="BA69">
        <v>47</v>
      </c>
      <c r="BB69">
        <f t="shared" si="6"/>
        <v>0</v>
      </c>
      <c r="BC69">
        <f t="shared" si="7"/>
        <v>0</v>
      </c>
      <c r="BD69">
        <f>SUM(BB55:BB69)/SUM(BA55:BA69)</f>
        <v>1.8439716312056736E-2</v>
      </c>
      <c r="BE69">
        <v>17</v>
      </c>
      <c r="BG69">
        <v>67</v>
      </c>
      <c r="BH69">
        <f>BB69+'Calibration B1'!AA69</f>
        <v>0</v>
      </c>
      <c r="BI69">
        <v>0</v>
      </c>
    </row>
    <row r="70" spans="1:61" x14ac:dyDescent="0.2">
      <c r="A70" s="3" t="s">
        <v>174</v>
      </c>
      <c r="B70" s="3">
        <v>2</v>
      </c>
      <c r="C70" s="3">
        <v>26</v>
      </c>
      <c r="D70" s="3" t="s">
        <v>63</v>
      </c>
      <c r="E70" s="3">
        <v>18</v>
      </c>
      <c r="BA70">
        <v>47</v>
      </c>
      <c r="BB70">
        <f t="shared" si="6"/>
        <v>0</v>
      </c>
      <c r="BC70" s="3">
        <f t="shared" si="7"/>
        <v>0</v>
      </c>
      <c r="BD70" s="3"/>
      <c r="BE70" s="3">
        <v>18</v>
      </c>
      <c r="BF70" s="3"/>
      <c r="BG70" s="3">
        <v>67</v>
      </c>
      <c r="BH70" s="3">
        <f>BB70+'Calibration B1'!AA70</f>
        <v>0</v>
      </c>
      <c r="BI70" s="3">
        <v>0</v>
      </c>
    </row>
    <row r="71" spans="1:61" x14ac:dyDescent="0.2">
      <c r="A71" t="s">
        <v>154</v>
      </c>
      <c r="B71">
        <v>2</v>
      </c>
      <c r="C71">
        <v>38</v>
      </c>
      <c r="D71" t="s">
        <v>63</v>
      </c>
      <c r="E71">
        <v>1</v>
      </c>
      <c r="U71">
        <v>1</v>
      </c>
      <c r="AJ71">
        <v>1</v>
      </c>
      <c r="BA71">
        <v>47</v>
      </c>
      <c r="BB71">
        <f t="shared" si="6"/>
        <v>2</v>
      </c>
      <c r="BC71">
        <f t="shared" si="7"/>
        <v>4.2553191489361701E-2</v>
      </c>
      <c r="BF71">
        <f>BC71</f>
        <v>4.2553191489361701E-2</v>
      </c>
      <c r="BG71">
        <v>67</v>
      </c>
      <c r="BH71">
        <f>BB71+'Calibration B1'!AA71</f>
        <v>2</v>
      </c>
      <c r="BI71">
        <f>BH71/BG71</f>
        <v>2.9850746268656716E-2</v>
      </c>
    </row>
    <row r="72" spans="1:61" x14ac:dyDescent="0.2">
      <c r="A72" t="s">
        <v>157</v>
      </c>
      <c r="B72">
        <v>2</v>
      </c>
      <c r="C72">
        <v>13</v>
      </c>
      <c r="D72" t="s">
        <v>63</v>
      </c>
      <c r="E72">
        <v>2</v>
      </c>
      <c r="BA72">
        <v>47</v>
      </c>
      <c r="BB72">
        <f t="shared" si="6"/>
        <v>0</v>
      </c>
      <c r="BC72">
        <f t="shared" si="7"/>
        <v>0</v>
      </c>
      <c r="BF72">
        <f>BC72</f>
        <v>0</v>
      </c>
      <c r="BG72">
        <v>67</v>
      </c>
      <c r="BH72">
        <f>BB72+'Calibration B1'!AA72</f>
        <v>0</v>
      </c>
      <c r="BI72">
        <v>0</v>
      </c>
    </row>
    <row r="73" spans="1:61" x14ac:dyDescent="0.2">
      <c r="A73" t="s">
        <v>158</v>
      </c>
      <c r="B73">
        <v>3</v>
      </c>
      <c r="C73">
        <v>26</v>
      </c>
      <c r="D73" t="s">
        <v>62</v>
      </c>
      <c r="E73">
        <v>3</v>
      </c>
      <c r="I73">
        <v>1</v>
      </c>
      <c r="AC73">
        <v>1</v>
      </c>
      <c r="AK73">
        <v>1</v>
      </c>
      <c r="AM73">
        <v>1</v>
      </c>
      <c r="AW73">
        <v>1</v>
      </c>
      <c r="BA73">
        <v>47</v>
      </c>
      <c r="BB73">
        <f t="shared" si="6"/>
        <v>5</v>
      </c>
      <c r="BC73">
        <f t="shared" si="7"/>
        <v>0.10638297872340426</v>
      </c>
      <c r="BF73">
        <f>BC73</f>
        <v>0.10638297872340426</v>
      </c>
      <c r="BG73">
        <v>67</v>
      </c>
      <c r="BH73">
        <f>BB73+'Calibration B1'!AA73</f>
        <v>5</v>
      </c>
      <c r="BI73">
        <f>BH73/BG73</f>
        <v>7.4626865671641784E-2</v>
      </c>
    </row>
    <row r="74" spans="1:61" x14ac:dyDescent="0.2">
      <c r="A74" t="s">
        <v>155</v>
      </c>
      <c r="B74">
        <v>2</v>
      </c>
      <c r="C74">
        <v>13</v>
      </c>
      <c r="D74" t="s">
        <v>62</v>
      </c>
      <c r="E74">
        <v>4</v>
      </c>
      <c r="BA74">
        <v>47</v>
      </c>
      <c r="BB74">
        <f t="shared" si="6"/>
        <v>0</v>
      </c>
      <c r="BC74">
        <f t="shared" si="7"/>
        <v>0</v>
      </c>
      <c r="BF74">
        <f t="shared" ref="BF74:BF77" si="8">BC74</f>
        <v>0</v>
      </c>
      <c r="BG74">
        <v>67</v>
      </c>
      <c r="BH74">
        <f>BB74+'Calibration B1'!AA74</f>
        <v>0</v>
      </c>
      <c r="BI74">
        <v>0</v>
      </c>
    </row>
    <row r="75" spans="1:61" x14ac:dyDescent="0.2">
      <c r="A75" t="s">
        <v>156</v>
      </c>
      <c r="B75">
        <v>2</v>
      </c>
      <c r="C75">
        <v>8</v>
      </c>
      <c r="D75" t="s">
        <v>63</v>
      </c>
      <c r="E75">
        <v>6</v>
      </c>
      <c r="BA75">
        <v>47</v>
      </c>
      <c r="BB75">
        <f t="shared" si="6"/>
        <v>0</v>
      </c>
      <c r="BC75">
        <f t="shared" si="7"/>
        <v>0</v>
      </c>
      <c r="BF75">
        <f t="shared" si="8"/>
        <v>0</v>
      </c>
      <c r="BG75">
        <v>67</v>
      </c>
      <c r="BH75">
        <f>BB75+'Calibration B1'!AA75</f>
        <v>0</v>
      </c>
      <c r="BI75">
        <v>0</v>
      </c>
    </row>
    <row r="76" spans="1:61" x14ac:dyDescent="0.2">
      <c r="A76" t="s">
        <v>161</v>
      </c>
      <c r="B76">
        <v>2</v>
      </c>
      <c r="C76">
        <v>1</v>
      </c>
      <c r="D76" t="s">
        <v>62</v>
      </c>
      <c r="E76">
        <v>7</v>
      </c>
      <c r="BA76">
        <v>47</v>
      </c>
      <c r="BB76">
        <f t="shared" si="6"/>
        <v>0</v>
      </c>
      <c r="BC76">
        <f t="shared" si="7"/>
        <v>0</v>
      </c>
      <c r="BF76">
        <f t="shared" si="8"/>
        <v>0</v>
      </c>
      <c r="BG76">
        <v>67</v>
      </c>
      <c r="BH76">
        <f>BB76+'Calibration B1'!AA76</f>
        <v>0</v>
      </c>
      <c r="BI76">
        <v>0</v>
      </c>
    </row>
    <row r="77" spans="1:61" x14ac:dyDescent="0.2">
      <c r="A77" t="s">
        <v>163</v>
      </c>
      <c r="B77">
        <v>3</v>
      </c>
      <c r="C77">
        <v>32</v>
      </c>
      <c r="D77" t="s">
        <v>62</v>
      </c>
      <c r="E77">
        <v>8</v>
      </c>
      <c r="Y77">
        <v>1</v>
      </c>
      <c r="BA77">
        <v>47</v>
      </c>
      <c r="BB77">
        <f t="shared" si="6"/>
        <v>1</v>
      </c>
      <c r="BC77">
        <f t="shared" si="7"/>
        <v>2.1276595744680851E-2</v>
      </c>
      <c r="BF77">
        <f t="shared" si="8"/>
        <v>2.1276595744680851E-2</v>
      </c>
      <c r="BG77">
        <v>67</v>
      </c>
      <c r="BH77">
        <f>BB77+'Calibration B1'!AA77</f>
        <v>1</v>
      </c>
      <c r="BI77">
        <f>BH77/BG77</f>
        <v>1.4925373134328358E-2</v>
      </c>
    </row>
    <row r="78" spans="1:61" x14ac:dyDescent="0.2">
      <c r="A78" t="s">
        <v>159</v>
      </c>
      <c r="B78">
        <v>3</v>
      </c>
      <c r="C78">
        <v>37</v>
      </c>
      <c r="D78" t="s">
        <v>63</v>
      </c>
      <c r="E78">
        <v>9</v>
      </c>
      <c r="BA78">
        <v>47</v>
      </c>
      <c r="BB78">
        <f t="shared" si="6"/>
        <v>0</v>
      </c>
      <c r="BC78">
        <f t="shared" si="7"/>
        <v>0</v>
      </c>
      <c r="BG78">
        <v>67</v>
      </c>
      <c r="BH78">
        <f>BB78+'Calibration B1'!AA78</f>
        <v>0</v>
      </c>
    </row>
    <row r="79" spans="1:61" x14ac:dyDescent="0.2">
      <c r="A79" t="s">
        <v>160</v>
      </c>
      <c r="B79">
        <v>1</v>
      </c>
      <c r="C79">
        <v>39</v>
      </c>
      <c r="D79" t="s">
        <v>63</v>
      </c>
      <c r="E79">
        <v>9</v>
      </c>
      <c r="BA79">
        <v>47</v>
      </c>
      <c r="BB79">
        <f t="shared" si="6"/>
        <v>0</v>
      </c>
      <c r="BC79">
        <f t="shared" si="7"/>
        <v>0</v>
      </c>
      <c r="BF79">
        <v>0</v>
      </c>
      <c r="BG79">
        <v>67</v>
      </c>
      <c r="BH79">
        <f>BB79+'Calibration B1'!AA79</f>
        <v>0</v>
      </c>
      <c r="BI79">
        <v>0</v>
      </c>
    </row>
    <row r="80" spans="1:61" x14ac:dyDescent="0.2">
      <c r="A80" t="s">
        <v>162</v>
      </c>
      <c r="B80">
        <v>2</v>
      </c>
      <c r="C80">
        <v>31</v>
      </c>
      <c r="D80" t="s">
        <v>63</v>
      </c>
      <c r="E80">
        <v>12</v>
      </c>
      <c r="BA80">
        <v>47</v>
      </c>
      <c r="BB80">
        <f t="shared" si="6"/>
        <v>0</v>
      </c>
      <c r="BC80">
        <f t="shared" si="7"/>
        <v>0</v>
      </c>
      <c r="BF80">
        <v>0</v>
      </c>
      <c r="BG80">
        <v>67</v>
      </c>
      <c r="BH80">
        <f>BB80+'Calibration B1'!AA80</f>
        <v>0</v>
      </c>
      <c r="BI80">
        <v>0</v>
      </c>
    </row>
    <row r="81" spans="1:61" x14ac:dyDescent="0.2">
      <c r="A81" t="s">
        <v>57</v>
      </c>
      <c r="B81">
        <v>2</v>
      </c>
      <c r="C81">
        <v>26</v>
      </c>
      <c r="D81" t="s">
        <v>62</v>
      </c>
      <c r="E81">
        <v>17</v>
      </c>
      <c r="BA81">
        <v>47</v>
      </c>
      <c r="BB81">
        <f t="shared" si="6"/>
        <v>0</v>
      </c>
      <c r="BC81">
        <f t="shared" si="7"/>
        <v>0</v>
      </c>
      <c r="BF81">
        <v>0</v>
      </c>
      <c r="BG81">
        <v>67</v>
      </c>
      <c r="BH81">
        <f>BB81+'Calibration B1'!AA81</f>
        <v>0</v>
      </c>
      <c r="BI81">
        <v>0</v>
      </c>
    </row>
    <row r="82" spans="1:61" x14ac:dyDescent="0.2">
      <c r="A82" t="s">
        <v>52</v>
      </c>
      <c r="B82">
        <v>3</v>
      </c>
      <c r="C82">
        <v>27</v>
      </c>
      <c r="D82" t="s">
        <v>62</v>
      </c>
      <c r="E82">
        <v>18</v>
      </c>
      <c r="BA82">
        <v>47</v>
      </c>
      <c r="BB82">
        <f t="shared" si="6"/>
        <v>0</v>
      </c>
      <c r="BC82">
        <f t="shared" si="7"/>
        <v>0</v>
      </c>
      <c r="BF82">
        <v>0</v>
      </c>
      <c r="BG82">
        <v>67</v>
      </c>
      <c r="BH82">
        <f>BB82+'Calibration B1'!AA82</f>
        <v>0</v>
      </c>
    </row>
    <row r="83" spans="1:61" x14ac:dyDescent="0.2">
      <c r="A83" t="s">
        <v>164</v>
      </c>
      <c r="B83">
        <v>3</v>
      </c>
      <c r="C83">
        <v>24</v>
      </c>
      <c r="D83" t="s">
        <v>63</v>
      </c>
      <c r="E83">
        <v>18</v>
      </c>
      <c r="BA83">
        <v>47</v>
      </c>
      <c r="BB83">
        <f t="shared" si="6"/>
        <v>0</v>
      </c>
      <c r="BC83">
        <f t="shared" si="7"/>
        <v>0</v>
      </c>
      <c r="BF83">
        <v>0</v>
      </c>
      <c r="BG83">
        <v>67</v>
      </c>
      <c r="BH83">
        <f>BB83+'Calibration B1'!AA83</f>
        <v>0</v>
      </c>
    </row>
    <row r="84" spans="1:61" x14ac:dyDescent="0.2">
      <c r="A84" t="s">
        <v>49</v>
      </c>
      <c r="B84">
        <v>1</v>
      </c>
      <c r="C84">
        <v>40</v>
      </c>
      <c r="D84" t="s">
        <v>63</v>
      </c>
      <c r="E84">
        <v>18</v>
      </c>
      <c r="BA84">
        <v>47</v>
      </c>
      <c r="BB84">
        <f t="shared" si="6"/>
        <v>0</v>
      </c>
      <c r="BC84">
        <f t="shared" si="7"/>
        <v>0</v>
      </c>
      <c r="BD84">
        <f>SUM(BB71:BB84)/SUM(BA71:BA84)</f>
        <v>1.2158054711246201E-2</v>
      </c>
      <c r="BF84">
        <v>0</v>
      </c>
      <c r="BG84">
        <v>67</v>
      </c>
      <c r="BH84">
        <f>BB84+'Calibration B1'!AA84</f>
        <v>0</v>
      </c>
      <c r="BI84">
        <v>0</v>
      </c>
    </row>
    <row r="85" spans="1:61" x14ac:dyDescent="0.2">
      <c r="A85" t="s">
        <v>53</v>
      </c>
      <c r="B85">
        <v>1</v>
      </c>
      <c r="C85">
        <v>47</v>
      </c>
      <c r="D85" t="s">
        <v>63</v>
      </c>
      <c r="E85">
        <v>20</v>
      </c>
      <c r="BA85">
        <v>47</v>
      </c>
      <c r="BB85">
        <f t="shared" si="6"/>
        <v>0</v>
      </c>
      <c r="BC85">
        <f t="shared" si="7"/>
        <v>0</v>
      </c>
      <c r="BF85">
        <v>0</v>
      </c>
      <c r="BG85">
        <v>67</v>
      </c>
      <c r="BH85">
        <f>BB85+'Calibration B1'!AA85</f>
        <v>0</v>
      </c>
      <c r="BI85">
        <v>0</v>
      </c>
    </row>
    <row r="87" spans="1:61" x14ac:dyDescent="0.2">
      <c r="A87" t="s">
        <v>196</v>
      </c>
      <c r="C87">
        <f>AVERAGE(F87:AZ87)</f>
        <v>13.191489361702128</v>
      </c>
      <c r="F87">
        <v>17</v>
      </c>
      <c r="G87">
        <v>16</v>
      </c>
      <c r="H87">
        <v>16</v>
      </c>
      <c r="I87">
        <v>14</v>
      </c>
      <c r="J87">
        <v>13</v>
      </c>
      <c r="K87">
        <v>17</v>
      </c>
      <c r="L87">
        <v>19</v>
      </c>
      <c r="M87">
        <v>15</v>
      </c>
      <c r="N87">
        <v>18</v>
      </c>
      <c r="O87">
        <v>18</v>
      </c>
      <c r="P87">
        <v>16</v>
      </c>
      <c r="Q87">
        <v>13</v>
      </c>
      <c r="R87">
        <v>11</v>
      </c>
      <c r="S87">
        <v>16</v>
      </c>
      <c r="T87">
        <v>13</v>
      </c>
      <c r="U87">
        <v>19</v>
      </c>
      <c r="V87">
        <v>19</v>
      </c>
      <c r="W87">
        <v>16</v>
      </c>
      <c r="X87">
        <v>13</v>
      </c>
      <c r="Y87">
        <v>11</v>
      </c>
      <c r="Z87">
        <v>11</v>
      </c>
      <c r="AA87">
        <v>15</v>
      </c>
      <c r="AB87">
        <v>12</v>
      </c>
      <c r="AC87">
        <v>13</v>
      </c>
      <c r="AD87">
        <v>12</v>
      </c>
      <c r="AE87">
        <v>15</v>
      </c>
      <c r="AF87">
        <v>13</v>
      </c>
      <c r="AG87">
        <v>6</v>
      </c>
      <c r="AH87">
        <v>13</v>
      </c>
      <c r="AI87">
        <v>16</v>
      </c>
      <c r="AJ87">
        <v>13</v>
      </c>
      <c r="AK87">
        <v>11</v>
      </c>
      <c r="AL87">
        <v>10</v>
      </c>
      <c r="AM87">
        <v>10</v>
      </c>
      <c r="AN87">
        <v>8</v>
      </c>
      <c r="AO87">
        <v>13</v>
      </c>
      <c r="AP87">
        <v>15</v>
      </c>
      <c r="AQ87">
        <v>8</v>
      </c>
      <c r="AR87">
        <v>14</v>
      </c>
      <c r="AS87">
        <v>12</v>
      </c>
      <c r="AT87">
        <v>13</v>
      </c>
      <c r="AU87">
        <v>9</v>
      </c>
      <c r="AV87">
        <v>9</v>
      </c>
      <c r="AW87">
        <v>11</v>
      </c>
      <c r="AX87">
        <v>11</v>
      </c>
      <c r="AY87">
        <v>11</v>
      </c>
      <c r="AZ87">
        <v>6</v>
      </c>
    </row>
    <row r="88" spans="1:61" x14ac:dyDescent="0.2">
      <c r="A88" t="s">
        <v>88</v>
      </c>
      <c r="F88">
        <v>6</v>
      </c>
      <c r="G88">
        <v>5</v>
      </c>
      <c r="H88">
        <v>3</v>
      </c>
      <c r="I88">
        <v>3</v>
      </c>
      <c r="J88">
        <v>4</v>
      </c>
      <c r="K88">
        <v>1</v>
      </c>
      <c r="L88">
        <v>0</v>
      </c>
      <c r="M88">
        <v>3</v>
      </c>
      <c r="N88">
        <v>7</v>
      </c>
      <c r="O88">
        <v>7</v>
      </c>
      <c r="P88">
        <v>2</v>
      </c>
      <c r="Q88">
        <v>0</v>
      </c>
      <c r="R88">
        <v>3</v>
      </c>
      <c r="S88">
        <v>1</v>
      </c>
      <c r="T88">
        <v>2</v>
      </c>
      <c r="U88">
        <v>6</v>
      </c>
      <c r="V88">
        <v>5</v>
      </c>
      <c r="W88">
        <v>2</v>
      </c>
      <c r="X88">
        <v>1</v>
      </c>
      <c r="Y88">
        <v>2</v>
      </c>
      <c r="Z88">
        <v>1</v>
      </c>
      <c r="AA88">
        <v>1</v>
      </c>
      <c r="AB88">
        <v>4</v>
      </c>
      <c r="AC88">
        <v>3</v>
      </c>
      <c r="AE88">
        <v>7</v>
      </c>
      <c r="AF88">
        <v>6</v>
      </c>
      <c r="AG88">
        <v>1</v>
      </c>
      <c r="AH88">
        <v>1</v>
      </c>
      <c r="AI88">
        <v>9</v>
      </c>
      <c r="AJ88">
        <v>5</v>
      </c>
      <c r="AL88">
        <v>2</v>
      </c>
      <c r="AM88">
        <v>0</v>
      </c>
      <c r="AN88">
        <v>3</v>
      </c>
      <c r="AO88">
        <v>1</v>
      </c>
      <c r="AQ88">
        <v>0</v>
      </c>
      <c r="AR88">
        <v>8</v>
      </c>
      <c r="AS88">
        <v>7</v>
      </c>
      <c r="AT88">
        <v>3</v>
      </c>
      <c r="AU88">
        <v>0</v>
      </c>
      <c r="AV88">
        <v>1</v>
      </c>
      <c r="AW88">
        <v>1</v>
      </c>
      <c r="AX88">
        <v>1</v>
      </c>
      <c r="AY88">
        <v>0</v>
      </c>
      <c r="AZ88">
        <v>2</v>
      </c>
    </row>
  </sheetData>
  <sortState xmlns:xlrd2="http://schemas.microsoft.com/office/spreadsheetml/2017/richdata2" ref="A71:BF85">
    <sortCondition ref="E71:E8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selection activeCell="G4" sqref="G4"/>
    </sheetView>
  </sheetViews>
  <sheetFormatPr baseColWidth="10" defaultRowHeight="16" x14ac:dyDescent="0.2"/>
  <sheetData>
    <row r="1" spans="1:11" x14ac:dyDescent="0.2">
      <c r="A1" t="s">
        <v>105</v>
      </c>
      <c r="B1" t="s">
        <v>106</v>
      </c>
      <c r="C1" t="s">
        <v>107</v>
      </c>
      <c r="D1" t="s">
        <v>109</v>
      </c>
      <c r="E1" t="s">
        <v>112</v>
      </c>
      <c r="G1" t="s">
        <v>192</v>
      </c>
      <c r="H1" t="s">
        <v>193</v>
      </c>
      <c r="I1" t="s">
        <v>194</v>
      </c>
      <c r="J1" t="s">
        <v>112</v>
      </c>
    </row>
    <row r="2" spans="1:11" x14ac:dyDescent="0.2">
      <c r="A2" t="s">
        <v>108</v>
      </c>
      <c r="B2">
        <v>0.86299999999999999</v>
      </c>
      <c r="C2">
        <v>4.1000000000000002E-2</v>
      </c>
      <c r="D2">
        <v>3.8</v>
      </c>
      <c r="E2" s="9">
        <v>41507</v>
      </c>
      <c r="G2">
        <v>0.78100000000000003</v>
      </c>
      <c r="H2">
        <v>4.3999999999999997E-2</v>
      </c>
      <c r="I2">
        <v>3.3</v>
      </c>
      <c r="J2" s="9">
        <v>41507</v>
      </c>
    </row>
    <row r="3" spans="1:11" x14ac:dyDescent="0.2">
      <c r="A3" t="s">
        <v>110</v>
      </c>
      <c r="B3">
        <v>0.82699999999999996</v>
      </c>
      <c r="C3">
        <v>0.28000000000000003</v>
      </c>
      <c r="D3">
        <v>1.4</v>
      </c>
      <c r="G3">
        <v>0.70799999999999996</v>
      </c>
      <c r="H3">
        <v>0.253</v>
      </c>
      <c r="I3">
        <v>1.2</v>
      </c>
    </row>
    <row r="4" spans="1:11" x14ac:dyDescent="0.2">
      <c r="A4" t="s">
        <v>111</v>
      </c>
      <c r="B4">
        <v>0.126</v>
      </c>
      <c r="C4">
        <v>6.4000000000000001E-2</v>
      </c>
      <c r="D4">
        <v>0.44</v>
      </c>
      <c r="G4">
        <v>7.5999999999999998E-2</v>
      </c>
      <c r="H4">
        <v>3.1E-2</v>
      </c>
      <c r="I4">
        <v>0.38</v>
      </c>
    </row>
    <row r="5" spans="1:11" x14ac:dyDescent="0.2">
      <c r="A5" t="s">
        <v>113</v>
      </c>
      <c r="B5">
        <v>0.64400000000000002</v>
      </c>
      <c r="C5">
        <v>4.4999999999999998E-2</v>
      </c>
      <c r="D5">
        <v>2.7</v>
      </c>
      <c r="G5">
        <v>0.58299999999999996</v>
      </c>
      <c r="H5">
        <v>4.7E-2</v>
      </c>
      <c r="I5">
        <v>2.4</v>
      </c>
    </row>
    <row r="6" spans="1:11" x14ac:dyDescent="0.2">
      <c r="A6" t="s">
        <v>115</v>
      </c>
      <c r="B6">
        <v>6.3E-2</v>
      </c>
      <c r="C6">
        <v>2.1000000000000001E-2</v>
      </c>
      <c r="D6">
        <v>0.39</v>
      </c>
      <c r="G6">
        <v>4.3999999999999997E-2</v>
      </c>
      <c r="H6">
        <v>2.1000000000000001E-2</v>
      </c>
      <c r="I6">
        <v>0.27</v>
      </c>
      <c r="K6" t="s">
        <v>197</v>
      </c>
    </row>
    <row r="7" spans="1:11" x14ac:dyDescent="0.2">
      <c r="A7" t="s">
        <v>116</v>
      </c>
      <c r="B7">
        <v>4.4999999999999998E-2</v>
      </c>
      <c r="C7">
        <v>3.5000000000000003E-2</v>
      </c>
      <c r="D7">
        <v>0.21</v>
      </c>
      <c r="G7">
        <v>3.2000000000000001E-2</v>
      </c>
      <c r="H7">
        <v>3.5000000000000003E-2</v>
      </c>
      <c r="I7">
        <v>0.15</v>
      </c>
      <c r="K7" t="s">
        <v>197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Allocations</vt:lpstr>
      <vt:lpstr>Calibration A1</vt:lpstr>
      <vt:lpstr>SW A1</vt:lpstr>
      <vt:lpstr>Calibration A2</vt:lpstr>
      <vt:lpstr>SW A2</vt:lpstr>
      <vt:lpstr>Calibration B1</vt:lpstr>
      <vt:lpstr>SW B1</vt:lpstr>
      <vt:lpstr>Calibration B2</vt:lpstr>
      <vt:lpstr>SW B2</vt:lpstr>
    </vt:vector>
  </TitlesOfParts>
  <Company>University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Banning</dc:creator>
  <cp:lastModifiedBy>Edward Banning</cp:lastModifiedBy>
  <dcterms:created xsi:type="dcterms:W3CDTF">2013-08-02T11:38:21Z</dcterms:created>
  <dcterms:modified xsi:type="dcterms:W3CDTF">2025-10-28T20:26:58Z</dcterms:modified>
</cp:coreProperties>
</file>